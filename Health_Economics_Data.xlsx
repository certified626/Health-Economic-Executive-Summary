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9bd97d7f28ea090d/Desktop/Data Analytis/"/>
    </mc:Choice>
  </mc:AlternateContent>
  <xr:revisionPtr revIDLastSave="276" documentId="11_6170AC8AD15D46CEEB3B98154B5DCE3A87C0C0CB" xr6:coauthVersionLast="47" xr6:coauthVersionMax="47" xr10:uidLastSave="{8C4CB9D4-1E83-403E-A134-167A6F64E4F7}"/>
  <bookViews>
    <workbookView minimized="1" xWindow="3990" yWindow="1425" windowWidth="15375" windowHeight="7875" activeTab="2" xr2:uid="{00000000-000D-0000-FFFF-FFFF00000000}"/>
  </bookViews>
  <sheets>
    <sheet name="health_economics_raw" sheetId="1" r:id="rId1"/>
    <sheet name="Dashboard" sheetId="2" r:id="rId2"/>
    <sheet name="visualization" sheetId="3" r:id="rId3"/>
  </sheets>
  <definedNames>
    <definedName name="Slicer_facility">#N/A</definedName>
    <definedName name="Slicer_insurance">#N/A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3" i="1" l="1"/>
</calcChain>
</file>

<file path=xl/sharedStrings.xml><?xml version="1.0" encoding="utf-8"?>
<sst xmlns="http://schemas.openxmlformats.org/spreadsheetml/2006/main" count="827" uniqueCount="213">
  <si>
    <t>patient_id</t>
  </si>
  <si>
    <t>facility</t>
  </si>
  <si>
    <t>visit_date</t>
  </si>
  <si>
    <t>age</t>
  </si>
  <si>
    <t>sex</t>
  </si>
  <si>
    <t>income_kes</t>
  </si>
  <si>
    <t>insurance</t>
  </si>
  <si>
    <t>cost_kes</t>
  </si>
  <si>
    <t>los_days</t>
  </si>
  <si>
    <t>diagnosis</t>
  </si>
  <si>
    <t>followup_date</t>
  </si>
  <si>
    <t>P1001</t>
  </si>
  <si>
    <t>Facility A</t>
  </si>
  <si>
    <t>F</t>
  </si>
  <si>
    <t>NHIF</t>
  </si>
  <si>
    <t>Asthma</t>
  </si>
  <si>
    <t>P1002</t>
  </si>
  <si>
    <t>Facility B</t>
  </si>
  <si>
    <t>Diabetes</t>
  </si>
  <si>
    <t>P1003</t>
  </si>
  <si>
    <t>Facility C</t>
  </si>
  <si>
    <t>Female</t>
  </si>
  <si>
    <t>None</t>
  </si>
  <si>
    <t>P1004</t>
  </si>
  <si>
    <t>M</t>
  </si>
  <si>
    <t>Private</t>
  </si>
  <si>
    <t>Hypertension</t>
  </si>
  <si>
    <t>P1005</t>
  </si>
  <si>
    <t>Facility D</t>
  </si>
  <si>
    <t>Malaria</t>
  </si>
  <si>
    <t>P1006</t>
  </si>
  <si>
    <t>31/02/2025</t>
  </si>
  <si>
    <t>P1007</t>
  </si>
  <si>
    <t>2025/13/01</t>
  </si>
  <si>
    <t>SHA</t>
  </si>
  <si>
    <t>Pneumonia</t>
  </si>
  <si>
    <t>P1008</t>
  </si>
  <si>
    <t>99/99/2025</t>
  </si>
  <si>
    <t>P1009</t>
  </si>
  <si>
    <t>P1010</t>
  </si>
  <si>
    <t>Male</t>
  </si>
  <si>
    <t>P1011</t>
  </si>
  <si>
    <t>P1012</t>
  </si>
  <si>
    <t>P1013</t>
  </si>
  <si>
    <t>P1014</t>
  </si>
  <si>
    <t>female</t>
  </si>
  <si>
    <t>P1015</t>
  </si>
  <si>
    <t>MALE</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</si>
  <si>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</si>
  <si>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</si>
  <si>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</si>
  <si>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</si>
  <si>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</si>
  <si>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</si>
  <si>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</si>
  <si>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</si>
  <si>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</si>
  <si>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</si>
  <si>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</si>
  <si>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</si>
  <si>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</si>
  <si>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</si>
  <si>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</si>
  <si>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</si>
  <si>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</si>
  <si>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</si>
  <si>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</si>
  <si>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</si>
  <si>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</si>
  <si>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</si>
  <si>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</si>
  <si>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</si>
  <si>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</si>
  <si>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</si>
  <si>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</si>
  <si>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</si>
  <si>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</si>
  <si>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</si>
  <si>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</si>
  <si>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</si>
  <si>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</si>
  <si>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</si>
  <si>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</si>
  <si>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</si>
  <si>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</si>
  <si>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</si>
  <si>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</si>
  <si>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</si>
  <si>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</si>
  <si>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</si>
  <si>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</si>
  <si>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</si>
  <si>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</si>
  <si>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</si>
  <si>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</si>
  <si>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</si>
  <si>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</si>
  <si>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</si>
  <si>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</si>
  <si>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</si>
  <si>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</si>
  <si>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</si>
  <si>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</si>
  <si>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</si>
  <si>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</si>
  <si>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</si>
  <si>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</si>
  <si>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</si>
  <si>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</si>
  <si>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</si>
  <si>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</si>
  <si>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</si>
  <si>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</si>
  <si>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</si>
  <si>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</si>
  <si>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</si>
  <si>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</si>
  <si>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</si>
  <si>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</si>
  <si>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</si>
  <si>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</si>
  <si>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</si>
  <si>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</si>
  <si>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</si>
  <si>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</si>
  <si>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</si>
  <si>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</si>
  <si>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</si>
  <si>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</si>
  <si>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</si>
  <si>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</si>
  <si>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</si>
  <si>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</si>
  <si>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</si>
  <si>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</si>
  <si>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</si>
  <si>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</si>
  <si>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</si>
  <si>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</si>
  <si>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</si>
  <si>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</si>
  <si>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</si>
  <si>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</si>
  <si>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</si>
  <si>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</si>
  <si>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</si>
  <si>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</si>
  <si>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</si>
  <si>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</si>
  <si>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</si>
  <si>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</si>
  <si>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</si>
  <si>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</si>
  <si>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</si>
  <si>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</si>
  <si>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</si>
  <si>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</si>
  <si>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</si>
  <si>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</si>
  <si>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</si>
  <si>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</si>
  <si>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</si>
  <si>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</si>
  <si>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</si>
  <si>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</si>
  <si>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</si>
  <si>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</si>
  <si>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</si>
  <si>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</si>
  <si>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</si>
  <si>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</si>
  <si>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</si>
  <si>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</si>
  <si>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</si>
  <si>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</si>
  <si>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</si>
  <si>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</si>
  <si>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</si>
  <si>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</si>
  <si>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</si>
  <si>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</si>
  <si>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</si>
  <si>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</si>
  <si>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</si>
  <si>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</si>
  <si>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</si>
  <si>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</si>
  <si>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</si>
  <si>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</si>
  <si>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</si>
  <si>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</si>
  <si>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</si>
  <si>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</si>
  <si>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</si>
  <si>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</si>
  <si>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</si>
  <si>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</si>
  <si>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</si>
  <si>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</si>
  <si>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</si>
  <si>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</si>
  <si>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</si>
  <si>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</si>
  <si>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Sum of cost_kes</t>
  </si>
  <si>
    <t>Sum of income_kes</t>
  </si>
  <si>
    <t>Row Labels</t>
  </si>
  <si>
    <t>(blank)</t>
  </si>
  <si>
    <t>Grand Total</t>
  </si>
  <si>
    <t>Sum of los_days</t>
  </si>
  <si>
    <t>Count of patient_id</t>
  </si>
  <si>
    <t>Average of cost_kes</t>
  </si>
  <si>
    <t>Average of los_days</t>
  </si>
  <si>
    <t>HEALTH ECONOMIC EXECUTIVE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</si>
</sst>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F800]dddd\,\ mmmm\ dd\,\ yyyy"/>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28"/>
      <color theme="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0" fontId="2" fillId="0" borderId="0" xfId="0" applyFont="1"/>
    <xf numFmtId="1" fontId="0" fillId="0" borderId="0" xfId="1" applyNumberFormat="1" applyFont="1"/>
    <xf numFmtId="1" fontId="2" fillId="0" borderId="0" xfId="0" applyNumberFormat="1" applyFont="1"/>
    <xf numFmtId="1" fontId="0" fillId="0" borderId="0" xfId="0" applyNumberFormat="1"/>
    <xf numFmtId="14" fontId="2" fillId="0" borderId="0" xfId="0" applyNumberFormat="1" applyFon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xf>
    <xf numFmtId="0" fontId="0" fillId="0" borderId="0" xfId="0" applyNumberFormat="1"/>
    <xf numFmtId="0" fontId="0" fillId="2" borderId="0" xfId="0" applyFill="1"/>
    <xf numFmtId="0" fontId="3" fillId="0" borderId="0" xfId="0" applyFont="1"/>
  </cellXfs>
  <cellStyles count="2">
    <cellStyle name="Comma" xfId="1" builtinId="3"/>
    <cellStyle name="Normal" xfId="0" builtinId="0"/>
  </cellStyles>
  <dxfs count="2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[Health_Economics_Data.xlsx]Dashboard!PivotTable1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Dashboard!$B$4</c:f>
              <c:strCache>
                <c:ptCount val="1"/>
                <c:pt idx="0">
                  <c:v>Sum of cost_kes</c:v>
                </c:pt>
              </c:strCache>
            </c:strRef>
          </c:tx>
          <c:spPr>
            <a:solidFill>
              <a:schemeClr val="accent1"/>
            </a:solidFill>
            <a:ln>
              <a:noFill/>
            </a:ln>
            <a:effectLst/>
          </c:spPr>
          <c:invertIfNegative val="0"/>
          <c:cat>
            <c:strRef>
              <c:f>Dashboard!$A$5:$A$10</c:f>
              <c:strCache>
                <c:ptCount val="5"/>
                <c:pt idx="0">
                  <c:v>NHIF</c:v>
                </c:pt>
                <c:pt idx="1">
                  <c:v>None</c:v>
                </c:pt>
                <c:pt idx="2">
                  <c:v>Private</c:v>
                </c:pt>
                <c:pt idx="3">
                  <c:v>SHA</c:v>
                </c:pt>
                <c:pt idx="4">
                  <c:v>(blank)</c:v>
                </c:pt>
              </c:strCache>
            </c:strRef>
          </c:cat>
          <c:val>
            <c:numRef>
              <c:f>Dashboard!$B$5:$B$10</c:f>
              <c:numCache>
                <c:formatCode>General</c:formatCode>
                <c:ptCount val="5"/>
                <c:pt idx="0">
                  <c:v>1178805</c:v>
                </c:pt>
                <c:pt idx="1">
                  <c:v>10844157</c:v>
                </c:pt>
                <c:pt idx="2">
                  <c:v>964185</c:v>
                </c:pt>
                <c:pt idx="3">
                  <c:v>994848</c:v>
                </c:pt>
                <c:pt idx="4">
                  <c:v>1593215</c:v>
                </c:pt>
              </c:numCache>
            </c:numRef>
          </c:val>
          <c:extLst>
            <c:ext xmlns:c16="http://schemas.microsoft.com/office/drawing/2014/chart" uri="{C3380CC4-5D6E-409C-BE32-E72D297353CC}">
              <c16:uniqueId val="{00000000-0176-4721-BC4E-984EBDB16763}"/>
            </c:ext>
          </c:extLst>
        </c:ser>
        <c:ser>
          <c:idx val="1"/>
          <c:order val="1"/>
          <c:tx>
            <c:strRef>
              <c:f>Dashboard!$C$4</c:f>
              <c:strCache>
                <c:ptCount val="1"/>
                <c:pt idx="0">
                  <c:v>Sum of income_kes</c:v>
                </c:pt>
              </c:strCache>
            </c:strRef>
          </c:tx>
          <c:spPr>
            <a:solidFill>
              <a:schemeClr val="accent2"/>
            </a:solidFill>
            <a:ln>
              <a:noFill/>
            </a:ln>
            <a:effectLst/>
          </c:spPr>
          <c:invertIfNegative val="0"/>
          <c:cat>
            <c:strRef>
              <c:f>Dashboard!$A$5:$A$10</c:f>
              <c:strCache>
                <c:ptCount val="5"/>
                <c:pt idx="0">
                  <c:v>NHIF</c:v>
                </c:pt>
                <c:pt idx="1">
                  <c:v>None</c:v>
                </c:pt>
                <c:pt idx="2">
                  <c:v>Private</c:v>
                </c:pt>
                <c:pt idx="3">
                  <c:v>SHA</c:v>
                </c:pt>
                <c:pt idx="4">
                  <c:v>(blank)</c:v>
                </c:pt>
              </c:strCache>
            </c:strRef>
          </c:cat>
          <c:val>
            <c:numRef>
              <c:f>Dashboard!$C$5:$C$10</c:f>
              <c:numCache>
                <c:formatCode>General</c:formatCode>
                <c:ptCount val="5"/>
                <c:pt idx="0">
                  <c:v>2881242</c:v>
                </c:pt>
                <c:pt idx="1">
                  <c:v>3068900</c:v>
                </c:pt>
                <c:pt idx="2">
                  <c:v>2956147</c:v>
                </c:pt>
                <c:pt idx="3">
                  <c:v>3131740</c:v>
                </c:pt>
                <c:pt idx="4">
                  <c:v>4763011</c:v>
                </c:pt>
              </c:numCache>
            </c:numRef>
          </c:val>
          <c:extLst>
            <c:ext xmlns:c16="http://schemas.microsoft.com/office/drawing/2014/chart" uri="{C3380CC4-5D6E-409C-BE32-E72D297353CC}">
              <c16:uniqueId val="{00000001-0176-4721-BC4E-984EBDB16763}"/>
            </c:ext>
          </c:extLst>
        </c:ser>
        <c:dLbls>
          <c:showLegendKey val="0"/>
          <c:showVal val="0"/>
          <c:showCatName val="0"/>
          <c:showSerName val="0"/>
          <c:showPercent val="0"/>
          <c:showBubbleSize val="0"/>
        </c:dLbls>
        <c:gapWidth val="219"/>
        <c:overlap val="-27"/>
        <c:axId val="948548656"/>
        <c:axId val="1272805600"/>
      </c:barChart>
      <c:catAx>
        <c:axId val="94854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805600"/>
        <c:crosses val="autoZero"/>
        <c:auto val="1"/>
        <c:lblAlgn val="ctr"/>
        <c:lblOffset val="100"/>
        <c:noMultiLvlLbl val="0"/>
      </c:catAx>
      <c:valAx>
        <c:axId val="127280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4854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[Health_Economics_Data.xlsx]Dashboard!PivotTable7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Dashboard!$D$25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B9-4DC6-9C8B-73A93368BC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B9-4DC6-9C8B-73A93368BC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B9-4DC6-9C8B-73A93368BC4A}"/>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Dashboard!$C$26:$C$31</c:f>
              <c:strCache>
                <c:ptCount val="5"/>
                <c:pt idx="0">
                  <c:v>NHIF</c:v>
                </c:pt>
                <c:pt idx="1">
                  <c:v>None</c:v>
                </c:pt>
                <c:pt idx="2">
                  <c:v>Private</c:v>
                </c:pt>
                <c:pt idx="3">
                  <c:v>SHA</c:v>
                </c:pt>
                <c:pt idx="4">
                  <c:v>(blank)</c:v>
                </c:pt>
              </c:strCache>
            </c:strRef>
          </c:cat>
          <c:val>
            <c:numRef>
              <c:f>Dashboard!$D$26:$D$31</c:f>
              <c:numCache>
                <c:formatCode>General</c:formatCode>
                <c:ptCount val="5"/>
                <c:pt idx="0">
                  <c:v>1178805</c:v>
                </c:pt>
                <c:pt idx="1">
                  <c:v>10844157</c:v>
                </c:pt>
                <c:pt idx="2">
                  <c:v>964185</c:v>
                </c:pt>
                <c:pt idx="3">
                  <c:v>994848</c:v>
                </c:pt>
                <c:pt idx="4">
                  <c:v>1593215</c:v>
                </c:pt>
              </c:numCache>
            </c:numRef>
          </c:val>
          <c:extLst>
            <c:ext xmlns:c16="http://schemas.microsoft.com/office/drawing/2014/chart" uri="{C3380CC4-5D6E-409C-BE32-E72D297353CC}">
              <c16:uniqueId val="{00000006-CEB9-4DC6-9C8B-73A93368BC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[Health_Economics_Data.xlsx]Dashboard!PivotTable5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Dashboard!$D$16</c:f>
              <c:strCache>
                <c:ptCount val="1"/>
                <c:pt idx="0">
                  <c:v>Average of cost_kes</c:v>
                </c:pt>
              </c:strCache>
            </c:strRef>
          </c:tx>
          <c:spPr>
            <a:solidFill>
              <a:schemeClr val="accent1"/>
            </a:solidFill>
            <a:ln>
              <a:noFill/>
            </a:ln>
            <a:effectLst/>
          </c:spPr>
          <c:invertIfNegative val="0"/>
          <c:cat>
            <c:strRef>
              <c:f>Dashboard!$C$17:$C$22</c:f>
              <c:strCache>
                <c:ptCount val="5"/>
                <c:pt idx="0">
                  <c:v>Asthma</c:v>
                </c:pt>
                <c:pt idx="1">
                  <c:v>Diabetes</c:v>
                </c:pt>
                <c:pt idx="2">
                  <c:v>Hypertension</c:v>
                </c:pt>
                <c:pt idx="3">
                  <c:v>Malaria</c:v>
                </c:pt>
                <c:pt idx="4">
                  <c:v>Pneumonia</c:v>
                </c:pt>
              </c:strCache>
            </c:strRef>
          </c:cat>
          <c:val>
            <c:numRef>
              <c:f>Dashboard!$D$17:$D$22</c:f>
              <c:numCache>
                <c:formatCode>0</c:formatCode>
                <c:ptCount val="5"/>
                <c:pt idx="0">
                  <c:v>361724.33333333331</c:v>
                </c:pt>
                <c:pt idx="1">
                  <c:v>35511.846153846156</c:v>
                </c:pt>
                <c:pt idx="2">
                  <c:v>25205.76923076923</c:v>
                </c:pt>
                <c:pt idx="3">
                  <c:v>26835.16</c:v>
                </c:pt>
                <c:pt idx="4">
                  <c:v>32619.555555555555</c:v>
                </c:pt>
              </c:numCache>
            </c:numRef>
          </c:val>
          <c:extLst>
            <c:ext xmlns:c16="http://schemas.microsoft.com/office/drawing/2014/chart" uri="{C3380CC4-5D6E-409C-BE32-E72D297353CC}">
              <c16:uniqueId val="{00000000-7999-413A-B6A4-F06E41DA6C44}"/>
            </c:ext>
          </c:extLst>
        </c:ser>
        <c:ser>
          <c:idx val="1"/>
          <c:order val="1"/>
          <c:tx>
            <c:strRef>
              <c:f>Dashboard!$E$16</c:f>
              <c:strCache>
                <c:ptCount val="1"/>
                <c:pt idx="0">
                  <c:v>Average of los_days</c:v>
                </c:pt>
              </c:strCache>
            </c:strRef>
          </c:tx>
          <c:spPr>
            <a:solidFill>
              <a:schemeClr val="accent2"/>
            </a:solidFill>
            <a:ln>
              <a:noFill/>
            </a:ln>
            <a:effectLst/>
          </c:spPr>
          <c:invertIfNegative val="0"/>
          <c:cat>
            <c:strRef>
              <c:f>Dashboard!$C$17:$C$22</c:f>
              <c:strCache>
                <c:ptCount val="5"/>
                <c:pt idx="0">
                  <c:v>Asthma</c:v>
                </c:pt>
                <c:pt idx="1">
                  <c:v>Diabetes</c:v>
                </c:pt>
                <c:pt idx="2">
                  <c:v>Hypertension</c:v>
                </c:pt>
                <c:pt idx="3">
                  <c:v>Malaria</c:v>
                </c:pt>
                <c:pt idx="4">
                  <c:v>Pneumonia</c:v>
                </c:pt>
              </c:strCache>
            </c:strRef>
          </c:cat>
          <c:val>
            <c:numRef>
              <c:f>Dashboard!$E$17:$E$22</c:f>
              <c:numCache>
                <c:formatCode>0</c:formatCode>
                <c:ptCount val="5"/>
                <c:pt idx="0">
                  <c:v>9.32258064516129</c:v>
                </c:pt>
                <c:pt idx="1">
                  <c:v>8.8461538461538467</c:v>
                </c:pt>
                <c:pt idx="2">
                  <c:v>9.115384615384615</c:v>
                </c:pt>
                <c:pt idx="3">
                  <c:v>9.0399999999999991</c:v>
                </c:pt>
                <c:pt idx="4">
                  <c:v>10.518518518518519</c:v>
                </c:pt>
              </c:numCache>
            </c:numRef>
          </c:val>
          <c:extLst>
            <c:ext xmlns:c16="http://schemas.microsoft.com/office/drawing/2014/chart" uri="{C3380CC4-5D6E-409C-BE32-E72D297353CC}">
              <c16:uniqueId val="{00000001-7999-413A-B6A4-F06E41DA6C44}"/>
            </c:ext>
          </c:extLst>
        </c:ser>
        <c:dLbls>
          <c:showLegendKey val="0"/>
          <c:showVal val="0"/>
          <c:showCatName val="0"/>
          <c:showSerName val="0"/>
          <c:showPercent val="0"/>
          <c:showBubbleSize val="0"/>
        </c:dLbls>
        <c:gapWidth val="219"/>
        <c:overlap val="-27"/>
        <c:axId val="1390567792"/>
        <c:axId val="1272827680"/>
      </c:barChart>
      <c:catAx>
        <c:axId val="139056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827680"/>
        <c:crosses val="autoZero"/>
        <c:auto val="1"/>
        <c:lblAlgn val="ctr"/>
        <c:lblOffset val="100"/>
        <c:noMultiLvlLbl val="0"/>
      </c:catAx>
      <c:valAx>
        <c:axId val="1272827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9056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[Health_Economics_Data.xlsx]Dashboard!PivotTable8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Dashboard!$F$26</c:f>
              <c:strCache>
                <c:ptCount val="1"/>
                <c:pt idx="0">
                  <c:v>Average of los_days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A1-404F-A78D-64B18D3FE3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A1-404F-A78D-64B18D3FE3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A1-404F-A78D-64B18D3FE3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A1-404F-A78D-64B18D3FE343}"/>
              </c:ext>
            </c:extLst>
          </c:dPt>
          <c:cat>
            <c:strRef>
              <c:f>Dashboard!$E$27:$E$31</c:f>
              <c:strCache>
                <c:ptCount val="4"/>
                <c:pt idx="0">
                  <c:v>Facility A</c:v>
                </c:pt>
                <c:pt idx="1">
                  <c:v>Facility B</c:v>
                </c:pt>
                <c:pt idx="2">
                  <c:v>Facility C</c:v>
                </c:pt>
                <c:pt idx="3">
                  <c:v>Facility D</c:v>
                </c:pt>
              </c:strCache>
            </c:strRef>
          </c:cat>
          <c:val>
            <c:numRef>
              <c:f>Dashboard!$F$27:$F$31</c:f>
              <c:numCache>
                <c:formatCode>0</c:formatCode>
                <c:ptCount val="4"/>
                <c:pt idx="0">
                  <c:v>7.833333333333333</c:v>
                </c:pt>
                <c:pt idx="1">
                  <c:v>9.48</c:v>
                </c:pt>
                <c:pt idx="2">
                  <c:v>10.851851851851851</c:v>
                </c:pt>
                <c:pt idx="3">
                  <c:v>9.4722222222222214</c:v>
                </c:pt>
              </c:numCache>
            </c:numRef>
          </c:val>
          <c:extLst>
            <c:ext xmlns:c16="http://schemas.microsoft.com/office/drawing/2014/chart" uri="{C3380CC4-5D6E-409C-BE32-E72D297353CC}">
              <c16:uniqueId val="{00000008-6AA1-404F-A78D-64B18D3FE343}"/>
            </c:ext>
          </c:extLst>
        </c:ser>
        <c:ser>
          <c:idx val="1"/>
          <c:order val="1"/>
          <c:tx>
            <c:strRef>
              <c:f>Dashboard!$G$26</c:f>
              <c:strCache>
                <c:ptCount val="1"/>
                <c:pt idx="0">
                  <c:v>Average of cost_kes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6AA1-404F-A78D-64B18D3FE3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6AA1-404F-A78D-64B18D3FE3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6AA1-404F-A78D-64B18D3FE3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6AA1-404F-A78D-64B18D3FE343}"/>
              </c:ext>
            </c:extLst>
          </c:dPt>
          <c:cat>
            <c:strRef>
              <c:f>Dashboard!$E$27:$E$31</c:f>
              <c:strCache>
                <c:ptCount val="4"/>
                <c:pt idx="0">
                  <c:v>Facility A</c:v>
                </c:pt>
                <c:pt idx="1">
                  <c:v>Facility B</c:v>
                </c:pt>
                <c:pt idx="2">
                  <c:v>Facility C</c:v>
                </c:pt>
                <c:pt idx="3">
                  <c:v>Facility D</c:v>
                </c:pt>
              </c:strCache>
            </c:strRef>
          </c:cat>
          <c:val>
            <c:numRef>
              <c:f>Dashboard!$G$27:$G$31</c:f>
              <c:numCache>
                <c:formatCode>0</c:formatCode>
                <c:ptCount val="4"/>
                <c:pt idx="0">
                  <c:v>40148.133333333331</c:v>
                </c:pt>
                <c:pt idx="1">
                  <c:v>232206.7</c:v>
                </c:pt>
                <c:pt idx="2">
                  <c:v>28439.528301886792</c:v>
                </c:pt>
                <c:pt idx="3">
                  <c:v>34809.333333333336</c:v>
                </c:pt>
              </c:numCache>
            </c:numRef>
          </c:val>
          <c:extLst>
            <c:ext xmlns:c16="http://schemas.microsoft.com/office/drawing/2014/chart" uri="{C3380CC4-5D6E-409C-BE32-E72D297353CC}">
              <c16:uniqueId val="{00000011-6AA1-404F-A78D-64B18D3FE3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57149</xdr:colOff>
      <xdr:row>0</xdr:row>
      <xdr:rowOff>409575</xdr:rowOff>
    </xdr:from>
    <xdr:to>
      <xdr:col>2</xdr:col>
      <xdr:colOff>466725</xdr:colOff>
      <xdr:row>4</xdr:row>
      <xdr:rowOff>66675</xdr:rowOff>
    </xdr:to>
    <xdr:sp macro="" textlink="">
      <xdr:nvSpPr>
        <xdr:cNvPr id="2" name="Rectangle 1">
          <a:extLst>
            <a:ext uri="{FF2B5EF4-FFF2-40B4-BE49-F238E27FC236}">
              <a16:creationId xmlns:a16="http://schemas.microsoft.com/office/drawing/2014/main" id="{F4713DC7-74B7-43C2-1EF3-6B8C8F5A3E9E}"/>
            </a:ext>
          </a:extLst>
        </xdr:cNvPr>
        <xdr:cNvSpPr/>
      </xdr:nvSpPr>
      <xdr:spPr>
        <a:xfrm>
          <a:off x="57149" y="409575"/>
          <a:ext cx="1628776"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PATIENT</a:t>
          </a:r>
        </a:p>
        <a:p>
          <a:pPr algn="l"/>
          <a:r>
            <a:rPr lang="en-US" sz="1400"/>
            <a:t>200</a:t>
          </a:r>
          <a:endParaRPr lang="en-KE" sz="1400"/>
        </a:p>
      </xdr:txBody>
    </xdr:sp>
    <xdr:clientData/>
  </xdr:twoCellAnchor>
  <xdr:twoCellAnchor>
    <xdr:from>
      <xdr:col>2</xdr:col>
      <xdr:colOff>504825</xdr:colOff>
      <xdr:row>0</xdr:row>
      <xdr:rowOff>390524</xdr:rowOff>
    </xdr:from>
    <xdr:to>
      <xdr:col>4</xdr:col>
      <xdr:colOff>600075</xdr:colOff>
      <xdr:row>4</xdr:row>
      <xdr:rowOff>76199</xdr:rowOff>
    </xdr:to>
    <xdr:sp macro="" textlink="">
      <xdr:nvSpPr>
        <xdr:cNvPr id="3" name="Rectangle 2">
          <a:extLst>
            <a:ext uri="{FF2B5EF4-FFF2-40B4-BE49-F238E27FC236}">
              <a16:creationId xmlns:a16="http://schemas.microsoft.com/office/drawing/2014/main" id="{BD3DFC24-3AD1-1111-11C6-070A80D8EC66}"/>
            </a:ext>
          </a:extLst>
        </xdr:cNvPr>
        <xdr:cNvSpPr/>
      </xdr:nvSpPr>
      <xdr:spPr>
        <a:xfrm>
          <a:off x="1724025" y="390524"/>
          <a:ext cx="131445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REVENUE</a:t>
          </a:r>
        </a:p>
        <a:p>
          <a:pPr algn="l"/>
          <a:r>
            <a:rPr lang="en-US" sz="1100" baseline="0"/>
            <a:t>KES </a:t>
          </a:r>
          <a:r>
            <a:rPr lang="en-KE"/>
            <a:t>5,575,211</a:t>
          </a:r>
          <a:endParaRPr lang="en-KE" sz="1100"/>
        </a:p>
      </xdr:txBody>
    </xdr:sp>
    <xdr:clientData/>
  </xdr:twoCellAnchor>
  <xdr:twoCellAnchor>
    <xdr:from>
      <xdr:col>5</xdr:col>
      <xdr:colOff>28575</xdr:colOff>
      <xdr:row>0</xdr:row>
      <xdr:rowOff>381001</xdr:rowOff>
    </xdr:from>
    <xdr:to>
      <xdr:col>7</xdr:col>
      <xdr:colOff>247650</xdr:colOff>
      <xdr:row>4</xdr:row>
      <xdr:rowOff>85724</xdr:rowOff>
    </xdr:to>
    <xdr:sp macro="" textlink="">
      <xdr:nvSpPr>
        <xdr:cNvPr id="4" name="Rectangle 3">
          <a:extLst>
            <a:ext uri="{FF2B5EF4-FFF2-40B4-BE49-F238E27FC236}">
              <a16:creationId xmlns:a16="http://schemas.microsoft.com/office/drawing/2014/main" id="{7D450F5A-E949-4DFA-A083-EB4869401C67}"/>
            </a:ext>
          </a:extLst>
        </xdr:cNvPr>
        <xdr:cNvSpPr/>
      </xdr:nvSpPr>
      <xdr:spPr>
        <a:xfrm>
          <a:off x="3076575" y="381001"/>
          <a:ext cx="1438275" cy="7334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a:t>
          </a:r>
          <a:r>
            <a:rPr lang="en-US" sz="1100" baseline="0"/>
            <a:t> COST PER PATIENT</a:t>
          </a:r>
        </a:p>
        <a:p>
          <a:pPr algn="l"/>
          <a:r>
            <a:rPr lang="en-KE"/>
            <a:t>KES 39,822.94</a:t>
          </a:r>
          <a:endParaRPr lang="en-KE" sz="1100"/>
        </a:p>
      </xdr:txBody>
    </xdr:sp>
    <xdr:clientData/>
  </xdr:twoCellAnchor>
  <xdr:twoCellAnchor>
    <xdr:from>
      <xdr:col>7</xdr:col>
      <xdr:colOff>304799</xdr:colOff>
      <xdr:row>0</xdr:row>
      <xdr:rowOff>371475</xdr:rowOff>
    </xdr:from>
    <xdr:to>
      <xdr:col>10</xdr:col>
      <xdr:colOff>9524</xdr:colOff>
      <xdr:row>4</xdr:row>
      <xdr:rowOff>76200</xdr:rowOff>
    </xdr:to>
    <xdr:sp macro="" textlink="">
      <xdr:nvSpPr>
        <xdr:cNvPr id="6" name="Rectangle 5">
          <a:extLst>
            <a:ext uri="{FF2B5EF4-FFF2-40B4-BE49-F238E27FC236}">
              <a16:creationId xmlns:a16="http://schemas.microsoft.com/office/drawing/2014/main" id="{92F50624-720A-4FF7-9E2B-BFA949E496B8}"/>
            </a:ext>
          </a:extLst>
        </xdr:cNvPr>
        <xdr:cNvSpPr/>
      </xdr:nvSpPr>
      <xdr:spPr>
        <a:xfrm>
          <a:off x="4571999" y="371475"/>
          <a:ext cx="1533525" cy="733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KE"/>
            <a:t>Average Length of Stay (LOS)</a:t>
          </a:r>
          <a:endParaRPr lang="en-US"/>
        </a:p>
        <a:p>
          <a:pPr algn="l"/>
          <a:r>
            <a:rPr lang="en-US" sz="1100"/>
            <a:t>9 Days</a:t>
          </a:r>
          <a:endParaRPr lang="en-KE" sz="1100"/>
        </a:p>
      </xdr:txBody>
    </xdr:sp>
    <xdr:clientData/>
  </xdr:twoCellAnchor>
  <xdr:twoCellAnchor editAs="oneCell">
    <xdr:from>
      <xdr:col>0</xdr:col>
      <xdr:colOff>0</xdr:colOff>
      <xdr:row>13</xdr:row>
      <xdr:rowOff>114300</xdr:rowOff>
    </xdr:from>
    <xdr:to>
      <xdr:col>2</xdr:col>
      <xdr:colOff>571500</xdr:colOff>
      <xdr:row>20</xdr:row>
      <xdr:rowOff>161925</xdr:rowOff>
    </xdr:to>
    <mc:AlternateContent xmlns:mc="http://schemas.openxmlformats.org/markup-compatibility/2006">
      <mc:Choice xmlns:a14="http://schemas.microsoft.com/office/drawing/2010/main" Requires="a14">
        <xdr:graphicFrame macro="">
          <xdr:nvGraphicFramePr>
            <xdr:cNvPr id="9" name="facility">
              <a:extLst>
                <a:ext uri="{FF2B5EF4-FFF2-40B4-BE49-F238E27FC236}">
                  <a16:creationId xmlns:a16="http://schemas.microsoft.com/office/drawing/2014/main" id="{97F149D7-4505-4BD2-9F73-07F96DADF2C4}"/>
                </a:ext>
              </a:extLst>
            </xdr:cNvPr>
            <xdr:cNvGraphicFramePr/>
          </xdr:nvGraphicFramePr>
          <xdr:xfrm>
            <a:off x="0" y="0"/>
            <a:ext cx="0" cy="0"/>
          </xdr:xfrm>
          <a:graphic>
            <a:graphicData uri="http://schemas.microsoft.com/office/drawing/2010/slicer">
              <sle:slicer xmlns:sle="http://schemas.microsoft.com/office/drawing/2010/slicer" name="facility"/>
            </a:graphicData>
          </a:graphic>
        </xdr:graphicFrame>
      </mc:Choice>
      <mc:Fallback>
        <xdr:sp macro="" textlink="">
          <xdr:nvSpPr>
            <xdr:cNvPr id="0" name=""/>
            <xdr:cNvSpPr>
              <a:spLocks noTextEdit="1"/>
            </xdr:cNvSpPr>
          </xdr:nvSpPr>
          <xdr:spPr>
            <a:xfrm>
              <a:off x="0" y="2857500"/>
              <a:ext cx="1790700" cy="1381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4</xdr:row>
      <xdr:rowOff>104776</xdr:rowOff>
    </xdr:from>
    <xdr:to>
      <xdr:col>3</xdr:col>
      <xdr:colOff>9525</xdr:colOff>
      <xdr:row>13</xdr:row>
      <xdr:rowOff>85726</xdr:rowOff>
    </xdr:to>
    <mc:AlternateContent xmlns:mc="http://schemas.openxmlformats.org/markup-compatibility/2006">
      <mc:Choice xmlns:a14="http://schemas.microsoft.com/office/drawing/2010/main" Requires="a14">
        <xdr:graphicFrame macro="">
          <xdr:nvGraphicFramePr>
            <xdr:cNvPr id="11" name="insurance">
              <a:extLst>
                <a:ext uri="{FF2B5EF4-FFF2-40B4-BE49-F238E27FC236}">
                  <a16:creationId xmlns:a16="http://schemas.microsoft.com/office/drawing/2014/main" id="{75A323C0-8646-49AC-8EA8-4FC648B277B9}"/>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dr:sp macro="" textlink="">
          <xdr:nvSpPr>
            <xdr:cNvPr id="0" name=""/>
            <xdr:cNvSpPr>
              <a:spLocks noTextEdit="1"/>
            </xdr:cNvSpPr>
          </xdr:nvSpPr>
          <xdr:spPr>
            <a:xfrm>
              <a:off x="9525" y="1133476"/>
              <a:ext cx="1828800" cy="16954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590550</xdr:colOff>
      <xdr:row>4</xdr:row>
      <xdr:rowOff>85725</xdr:rowOff>
    </xdr:from>
    <xdr:to>
      <xdr:col>11</xdr:col>
      <xdr:colOff>295275</xdr:colOff>
      <xdr:row>18</xdr:row>
      <xdr:rowOff>161925</xdr:rowOff>
    </xdr:to>
    <xdr:graphicFrame macro="">
      <xdr:nvGraphicFramePr>
        <xdr:cNvPr id="12" name="Chart 11">
          <a:extLst>
            <a:ext uri="{FF2B5EF4-FFF2-40B4-BE49-F238E27FC236}">
              <a16:creationId xmlns:a16="http://schemas.microsoft.com/office/drawing/2014/main" id="{09616461-F08A-41B2-8550-7EADB1E63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314325</xdr:colOff>
      <xdr:row>4</xdr:row>
      <xdr:rowOff>76200</xdr:rowOff>
    </xdr:from>
    <xdr:to>
      <xdr:col>19</xdr:col>
      <xdr:colOff>9525</xdr:colOff>
      <xdr:row>18</xdr:row>
      <xdr:rowOff>152400</xdr:rowOff>
    </xdr:to>
    <xdr:graphicFrame macro="">
      <xdr:nvGraphicFramePr>
        <xdr:cNvPr id="14" name="Chart 13">
          <a:extLst>
            <a:ext uri="{FF2B5EF4-FFF2-40B4-BE49-F238E27FC236}">
              <a16:creationId xmlns:a16="http://schemas.microsoft.com/office/drawing/2014/main" id="{831198C7-576F-48D2-A11D-2A7B1BF13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18</xdr:row>
      <xdr:rowOff>171450</xdr:rowOff>
    </xdr:from>
    <xdr:to>
      <xdr:col>11</xdr:col>
      <xdr:colOff>266700</xdr:colOff>
      <xdr:row>33</xdr:row>
      <xdr:rowOff>57150</xdr:rowOff>
    </xdr:to>
    <xdr:graphicFrame macro="">
      <xdr:nvGraphicFramePr>
        <xdr:cNvPr id="15" name="Chart 14">
          <a:extLst>
            <a:ext uri="{FF2B5EF4-FFF2-40B4-BE49-F238E27FC236}">
              <a16:creationId xmlns:a16="http://schemas.microsoft.com/office/drawing/2014/main" id="{012A6345-A5A5-48D2-9A2C-8D52D6D9C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323850</xdr:colOff>
      <xdr:row>18</xdr:row>
      <xdr:rowOff>161925</xdr:rowOff>
    </xdr:from>
    <xdr:to>
      <xdr:col>19</xdr:col>
      <xdr:colOff>19050</xdr:colOff>
      <xdr:row>33</xdr:row>
      <xdr:rowOff>47625</xdr:rowOff>
    </xdr:to>
    <xdr:graphicFrame macro="">
      <xdr:nvGraphicFramePr>
        <xdr:cNvPr id="16" name="Chart 15">
          <a:extLst>
            <a:ext uri="{FF2B5EF4-FFF2-40B4-BE49-F238E27FC236}">
              <a16:creationId xmlns:a16="http://schemas.microsoft.com/office/drawing/2014/main" id="{71EB9AAB-5824-4BA0-A368-854BC476C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hiambo clinton" refreshedDate="46248.158938310182" createdVersion="8" refreshedVersion="8" minRefreshableVersion="3" recordCount="170" xr:uid="{98BE03CF-8836-43BB-BACB-1F5857C58739}">
  <cacheSource type="worksheet">
    <worksheetSource name="Table1"/>
  </cacheSource>
  <cacheFields count="11">
    <cacheField name="patient_id" numFmtId="0">
      <sharedItems/>
    </cacheField>
    <cacheField name="facility" numFmtId="0">
      <sharedItems count="4">
        <s v="Facility A"/>
        <s v="Facility B"/>
        <s v="Facility C"/>
        <s v="Facility D"/>
      </sharedItems>
    </cacheField>
    <cacheField name="visit_date" numFmtId="0">
      <sharedItems containsDate="1" containsBlank="1" containsMixedTypes="1" minDate="2025-01-04T00:00:00" maxDate="2026-01-02T00:00:00" count="115">
        <d v="2025-01-04T00:00:00"/>
        <d v="2025-09-05T00:00:00"/>
        <d v="2025-06-24T00:00:00"/>
        <d v="2025-03-19T00:00:00"/>
        <d v="2025-03-22T00:00:00"/>
        <s v="31/02/2025"/>
        <s v="2025/13/01"/>
        <d v="2025-12-23T00:00:00"/>
        <d v="2025-10-30T00:00:00"/>
        <d v="2025-08-28T00:00:00"/>
        <d v="2025-02-06T00:00:00"/>
        <d v="2025-01-29T00:00:00"/>
        <d v="2025-10-12T00:00:00"/>
        <d v="2025-07-04T00:00:00"/>
        <d v="2025-03-29T00:00:00"/>
        <d v="2025-04-12T00:00:00"/>
        <d v="2025-03-20T00:00:00"/>
        <d v="2025-08-12T00:00:00"/>
        <d v="2025-08-09T00:00:00"/>
        <d v="2025-08-17T00:00:00"/>
        <d v="2025-05-30T00:00:00"/>
        <d v="2025-08-19T00:00:00"/>
        <d v="2025-09-02T00:00:00"/>
        <d v="2025-05-10T00:00:00"/>
        <d v="2025-03-01T00:00:00"/>
        <d v="2025-03-18T00:00:00"/>
        <d v="2025-04-03T00:00:00"/>
        <d v="2025-02-11T00:00:00"/>
        <d v="2025-06-08T00:00:00"/>
        <d v="2025-11-07T00:00:00"/>
        <d v="2025-04-16T00:00:00"/>
        <d v="2025-10-15T00:00:00"/>
        <d v="2025-04-11T00:00:00"/>
        <d v="2025-09-06T00:00:00"/>
        <d v="2025-12-07T00:00:00"/>
        <d v="2025-04-08T00:00:00"/>
        <d v="2025-02-21T00:00:00"/>
        <d v="2025-05-05T00:00:00"/>
        <d v="2025-02-20T00:00:00"/>
        <d v="2025-12-17T00:00:00"/>
        <d v="2025-05-07T00:00:00"/>
        <d v="2025-02-07T00:00:00"/>
        <d v="2025-05-13T00:00:00"/>
        <d v="2025-05-22T00:00:00"/>
        <d v="2025-09-19T00:00:00"/>
        <d v="2025-09-16T00:00:00"/>
        <d v="2025-03-09T00:00:00"/>
        <d v="2025-05-29T00:00:00"/>
        <d v="2025-04-26T00:00:00"/>
        <d v="2025-07-03T00:00:00"/>
        <d v="2025-12-22T00:00:00"/>
        <d v="2025-08-27T00:00:00"/>
        <d v="2025-01-05T00:00:00"/>
        <d v="2025-11-04T00:00:00"/>
        <d v="2025-07-13T00:00:00"/>
        <d v="2025-01-17T00:00:00"/>
        <d v="2025-08-21T00:00:00"/>
        <d v="2025-03-17T00:00:00"/>
        <d v="2025-06-01T00:00:00"/>
        <d v="2025-03-23T00:00:00"/>
        <d v="2025-12-24T00:00:00"/>
        <d v="2025-11-05T00:00:00"/>
        <d v="2025-12-11T00:00:00"/>
        <d v="2025-10-08T00:00:00"/>
        <d v="2025-08-18T00:00:00"/>
        <d v="2025-08-08T00:00:00"/>
        <d v="2025-10-19T00:00:00"/>
        <d v="2025-03-12T00:00:00"/>
        <d v="2025-11-29T00:00:00"/>
        <d v="2025-11-14T00:00:00"/>
        <d v="2025-07-10T00:00:00"/>
        <d v="2025-08-26T00:00:00"/>
        <d v="2025-09-22T00:00:00"/>
        <d v="2025-07-06T00:00:00"/>
        <d v="2025-01-28T00:00:00"/>
        <m/>
        <d v="2025-12-18T00:00:00"/>
        <d v="2025-05-27T00:00:00"/>
        <d v="2025-04-30T00:00:00"/>
        <d v="2025-04-07T00:00:00"/>
        <d v="2025-07-24T00:00:00"/>
        <d v="2025-08-20T00:00:00"/>
        <d v="2025-02-01T00:00:00"/>
        <d v="2025-07-29T00:00:00"/>
        <d v="2025-12-10T00:00:00"/>
        <d v="2025-06-14T00:00:00"/>
        <d v="2025-07-22T00:00:00"/>
        <d v="2025-05-25T00:00:00"/>
        <d v="2026-01-01T00:00:00"/>
        <d v="2025-09-12T00:00:00"/>
        <d v="2025-01-08T00:00:00"/>
        <d v="2025-06-04T00:00:00"/>
        <d v="2025-06-17T00:00:00"/>
        <d v="2025-10-06T00:00:00"/>
        <d v="2025-03-26T00:00:00"/>
        <d v="2025-11-21T00:00:00"/>
        <d v="2025-08-02T00:00:00"/>
        <d v="2025-05-12T00:00:00"/>
        <d v="2025-03-24T00:00:00"/>
        <d v="2025-11-16T00:00:00"/>
        <d v="2025-12-01T00:00:00"/>
        <d v="2025-11-20T00:00:00"/>
        <d v="2025-08-03T00:00:00"/>
        <d v="2025-04-09T00:00:00"/>
        <d v="2025-04-05T00:00:00"/>
        <d v="2025-07-26T00:00:00"/>
        <d v="2025-10-11T00:00:00"/>
        <d v="2025-01-16T00:00:00"/>
        <d v="2025-02-03T00:00:00"/>
        <d v="2025-03-14T00:00:00"/>
        <d v="2025-07-12T00:00:00"/>
        <d v="2025-06-10T00:00:00"/>
        <d v="2025-01-30T00:00:00"/>
        <d v="2025-04-13T00:00:00"/>
        <d v="2025-08-04T00:00:00"/>
      </sharedItems>
    </cacheField>
    <cacheField name="age" numFmtId="0">
      <sharedItems containsSemiMixedTypes="0" containsString="0" containsNumber="1" containsInteger="1" minValue="0" maxValue="150"/>
    </cacheField>
    <cacheField name="sex" numFmtId="0">
      <sharedItems containsBlank="1" count="5">
        <s v="Female"/>
        <s v="Male"/>
        <m/>
        <s v="F"/>
        <s v="M"/>
      </sharedItems>
    </cacheField>
    <cacheField name="income_kes" numFmtId="0">
      <sharedItems containsString="0" containsBlank="1" containsNumber="1" containsInteger="1" minValue="0" maxValue="247752"/>
    </cacheField>
    <cacheField name="insurance" numFmtId="0">
      <sharedItems containsBlank="1" count="5">
        <s v="NHIF"/>
        <s v="None"/>
        <s v="Private"/>
        <s v="SHA"/>
        <m/>
      </sharedItems>
    </cacheField>
    <cacheField name="cost_kes" numFmtId="0">
      <sharedItems containsString="0" containsBlank="1" containsNumber="1" containsInteger="1" minValue="0" maxValue="9999999"/>
    </cacheField>
    <cacheField name="los_days" numFmtId="0">
      <sharedItems containsSemiMixedTypes="0" containsString="0" containsNumber="1" containsInteger="1" minValue="-5" maxValue="18"/>
    </cacheField>
    <cacheField name="diagnosis" numFmtId="0">
      <sharedItems containsBlank="1" count="6">
        <s v="Asthma"/>
        <s v="Diabetes"/>
        <s v="Hypertension"/>
        <s v="Malaria"/>
        <s v="Pneumonia"/>
        <m/>
      </sharedItems>
    </cacheField>
    <cacheField name="followup_date" numFmtId="0">
      <sharedItems containsDate="1" containsBlank="1" containsMixedTypes="1" minDate="2025-01-21T00:00:00" maxDate="2026-04-11T00:00:00"/>
    </cacheField>
  </cacheFields>
  <extLst>
    <ext xmlns:x14="http://schemas.microsoft.com/office/spreadsheetml/2009/9/main" uri="{725AE2AE-9491-48be-B2B4-4EB974FC3084}">
      <x14:pivotCacheDefinition pivotCacheId="145615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P1001"/>
    <x v="0"/>
    <x v="0"/>
    <n v="0"/>
    <x v="0"/>
    <n v="0"/>
    <x v="0"/>
    <n v="0"/>
    <n v="1"/>
    <x v="0"/>
    <d v="2025-01-31T00:00:00"/>
  </r>
  <r>
    <s v="P1002"/>
    <x v="1"/>
    <x v="1"/>
    <n v="0"/>
    <x v="0"/>
    <n v="0"/>
    <x v="0"/>
    <n v="0"/>
    <n v="11"/>
    <x v="1"/>
    <d v="2025-09-26T00:00:00"/>
  </r>
  <r>
    <s v="P1003"/>
    <x v="2"/>
    <x v="2"/>
    <n v="0"/>
    <x v="0"/>
    <n v="0"/>
    <x v="1"/>
    <n v="0"/>
    <n v="16"/>
    <x v="0"/>
    <d v="2025-09-25T00:00:00"/>
  </r>
  <r>
    <s v="P1004"/>
    <x v="2"/>
    <x v="3"/>
    <n v="0"/>
    <x v="1"/>
    <n v="0"/>
    <x v="2"/>
    <n v="0"/>
    <n v="15"/>
    <x v="2"/>
    <d v="2025-05-14T00:00:00"/>
  </r>
  <r>
    <s v="P1005"/>
    <x v="3"/>
    <x v="4"/>
    <n v="0"/>
    <x v="0"/>
    <n v="0"/>
    <x v="2"/>
    <n v="0"/>
    <n v="2"/>
    <x v="3"/>
    <d v="2025-04-09T00:00:00"/>
  </r>
  <r>
    <s v="P1006"/>
    <x v="1"/>
    <x v="5"/>
    <n v="0"/>
    <x v="0"/>
    <n v="0"/>
    <x v="1"/>
    <n v="0"/>
    <n v="2"/>
    <x v="3"/>
    <d v="2026-03-16T00:00:00"/>
  </r>
  <r>
    <s v="P1007"/>
    <x v="1"/>
    <x v="6"/>
    <n v="0"/>
    <x v="0"/>
    <n v="0"/>
    <x v="3"/>
    <n v="0"/>
    <n v="2"/>
    <x v="4"/>
    <d v="2025-06-25T00:00:00"/>
  </r>
  <r>
    <s v="P1008"/>
    <x v="2"/>
    <x v="7"/>
    <n v="0"/>
    <x v="0"/>
    <n v="0"/>
    <x v="1"/>
    <n v="0"/>
    <n v="13"/>
    <x v="1"/>
    <s v="99/99/2025"/>
  </r>
  <r>
    <s v="P1009"/>
    <x v="2"/>
    <x v="8"/>
    <n v="0"/>
    <x v="1"/>
    <n v="0"/>
    <x v="0"/>
    <n v="0"/>
    <n v="6"/>
    <x v="1"/>
    <d v="2025-11-12T00:00:00"/>
  </r>
  <r>
    <s v="P1010"/>
    <x v="0"/>
    <x v="9"/>
    <n v="0"/>
    <x v="1"/>
    <n v="45000"/>
    <x v="2"/>
    <n v="0"/>
    <n v="1"/>
    <x v="2"/>
    <d v="2025-10-16T00:00:00"/>
  </r>
  <r>
    <s v="P1011"/>
    <x v="1"/>
    <x v="10"/>
    <n v="0"/>
    <x v="0"/>
    <m/>
    <x v="1"/>
    <n v="9999999"/>
    <n v="10"/>
    <x v="0"/>
    <d v="2025-05-27T00:00:00"/>
  </r>
  <r>
    <s v="P1012"/>
    <x v="3"/>
    <x v="11"/>
    <n v="0"/>
    <x v="1"/>
    <m/>
    <x v="3"/>
    <n v="0"/>
    <n v="-5"/>
    <x v="2"/>
    <d v="2025-04-10T00:00:00"/>
  </r>
  <r>
    <s v="P1013"/>
    <x v="2"/>
    <x v="12"/>
    <n v="150"/>
    <x v="0"/>
    <m/>
    <x v="2"/>
    <m/>
    <n v="7"/>
    <x v="0"/>
    <d v="2025-11-28T00:00:00"/>
  </r>
  <r>
    <s v="P1014"/>
    <x v="1"/>
    <x v="13"/>
    <n v="0"/>
    <x v="0"/>
    <n v="0"/>
    <x v="2"/>
    <n v="0"/>
    <n v="10"/>
    <x v="2"/>
    <d v="2025-08-25T00:00:00"/>
  </r>
  <r>
    <s v="P1015"/>
    <x v="1"/>
    <x v="14"/>
    <n v="0"/>
    <x v="1"/>
    <n v="0"/>
    <x v="0"/>
    <n v="0"/>
    <n v="18"/>
    <x v="4"/>
    <d v="2025-04-08T00:00:00"/>
  </r>
  <r>
    <s v="P1016"/>
    <x v="2"/>
    <x v="15"/>
    <n v="0"/>
    <x v="0"/>
    <n v="0"/>
    <x v="0"/>
    <n v="0"/>
    <n v="17"/>
    <x v="2"/>
    <d v="2025-06-08T00:00:00"/>
  </r>
  <r>
    <s v="P1017"/>
    <x v="2"/>
    <x v="16"/>
    <n v="0"/>
    <x v="1"/>
    <n v="0"/>
    <x v="1"/>
    <n v="0"/>
    <n v="17"/>
    <x v="3"/>
    <d v="2025-06-24T00:00:00"/>
  </r>
  <r>
    <s v="P1018"/>
    <x v="2"/>
    <x v="17"/>
    <n v="0"/>
    <x v="1"/>
    <n v="0"/>
    <x v="3"/>
    <n v="0"/>
    <n v="2"/>
    <x v="3"/>
    <d v="2025-11-12T00:00:00"/>
  </r>
  <r>
    <s v="P1019"/>
    <x v="2"/>
    <x v="18"/>
    <n v="0"/>
    <x v="1"/>
    <n v="0"/>
    <x v="1"/>
    <n v="0"/>
    <n v="9"/>
    <x v="0"/>
    <d v="2025-12-04T00:00:00"/>
  </r>
  <r>
    <s v="P1020"/>
    <x v="3"/>
    <x v="19"/>
    <n v="0"/>
    <x v="0"/>
    <n v="0"/>
    <x v="0"/>
    <n v="0"/>
    <n v="13"/>
    <x v="0"/>
    <d v="2025-11-18T00:00:00"/>
  </r>
  <r>
    <s v="P1021"/>
    <x v="2"/>
    <x v="20"/>
    <n v="0"/>
    <x v="0"/>
    <n v="0"/>
    <x v="2"/>
    <n v="0"/>
    <n v="8"/>
    <x v="0"/>
    <d v="2025-07-27T00:00:00"/>
  </r>
  <r>
    <s v="P1022"/>
    <x v="1"/>
    <x v="21"/>
    <n v="0"/>
    <x v="1"/>
    <n v="0"/>
    <x v="0"/>
    <n v="0"/>
    <n v="11"/>
    <x v="1"/>
    <d v="2025-09-06T00:00:00"/>
  </r>
  <r>
    <s v="P1023"/>
    <x v="1"/>
    <x v="22"/>
    <n v="0"/>
    <x v="0"/>
    <n v="0"/>
    <x v="2"/>
    <n v="0"/>
    <n v="6"/>
    <x v="0"/>
    <d v="2025-12-14T00:00:00"/>
  </r>
  <r>
    <s v="P1024"/>
    <x v="1"/>
    <x v="23"/>
    <n v="0"/>
    <x v="0"/>
    <n v="0"/>
    <x v="3"/>
    <n v="0"/>
    <n v="13"/>
    <x v="4"/>
    <d v="2025-05-18T00:00:00"/>
  </r>
  <r>
    <s v="P1025"/>
    <x v="1"/>
    <x v="24"/>
    <n v="0"/>
    <x v="0"/>
    <n v="0"/>
    <x v="2"/>
    <n v="0"/>
    <n v="12"/>
    <x v="3"/>
    <d v="2025-05-12T00:00:00"/>
  </r>
  <r>
    <s v="P1026"/>
    <x v="2"/>
    <x v="25"/>
    <n v="0"/>
    <x v="0"/>
    <n v="0"/>
    <x v="0"/>
    <n v="0"/>
    <n v="6"/>
    <x v="0"/>
    <d v="2025-04-05T00:00:00"/>
  </r>
  <r>
    <s v="P1027"/>
    <x v="3"/>
    <x v="26"/>
    <n v="0"/>
    <x v="1"/>
    <n v="0"/>
    <x v="2"/>
    <n v="0"/>
    <n v="5"/>
    <x v="2"/>
    <d v="2025-07-27T00:00:00"/>
  </r>
  <r>
    <s v="P1028"/>
    <x v="2"/>
    <x v="27"/>
    <n v="0"/>
    <x v="0"/>
    <n v="0"/>
    <x v="2"/>
    <n v="0"/>
    <n v="3"/>
    <x v="1"/>
    <d v="2025-04-17T00:00:00"/>
  </r>
  <r>
    <s v="P1029"/>
    <x v="2"/>
    <x v="28"/>
    <n v="0"/>
    <x v="1"/>
    <n v="0"/>
    <x v="0"/>
    <n v="0"/>
    <n v="13"/>
    <x v="3"/>
    <d v="2025-09-04T00:00:00"/>
  </r>
  <r>
    <s v="P1030"/>
    <x v="2"/>
    <x v="29"/>
    <n v="0"/>
    <x v="0"/>
    <n v="0"/>
    <x v="0"/>
    <n v="0"/>
    <n v="13"/>
    <x v="3"/>
    <d v="2025-11-19T00:00:00"/>
  </r>
  <r>
    <s v="P1031"/>
    <x v="1"/>
    <x v="30"/>
    <n v="0"/>
    <x v="0"/>
    <n v="0"/>
    <x v="3"/>
    <n v="72879"/>
    <n v="12"/>
    <x v="0"/>
    <d v="2025-05-31T00:00:00"/>
  </r>
  <r>
    <s v="P1032"/>
    <x v="2"/>
    <x v="31"/>
    <n v="0"/>
    <x v="1"/>
    <n v="0"/>
    <x v="3"/>
    <n v="24258"/>
    <n v="17"/>
    <x v="2"/>
    <d v="2025-12-14T00:00:00"/>
  </r>
  <r>
    <s v="P1033"/>
    <x v="0"/>
    <x v="32"/>
    <n v="0"/>
    <x v="0"/>
    <m/>
    <x v="3"/>
    <n v="48044"/>
    <n v="4"/>
    <x v="1"/>
    <d v="2025-07-11T00:00:00"/>
  </r>
  <r>
    <s v="P1034"/>
    <x v="3"/>
    <x v="33"/>
    <n v="0"/>
    <x v="0"/>
    <n v="0"/>
    <x v="0"/>
    <n v="48596"/>
    <n v="15"/>
    <x v="1"/>
    <d v="2025-10-13T00:00:00"/>
  </r>
  <r>
    <s v="P1035"/>
    <x v="3"/>
    <x v="34"/>
    <n v="0"/>
    <x v="1"/>
    <n v="0"/>
    <x v="1"/>
    <n v="14008"/>
    <n v="5"/>
    <x v="2"/>
    <d v="2026-01-06T00:00:00"/>
  </r>
  <r>
    <s v="P1036"/>
    <x v="3"/>
    <x v="35"/>
    <n v="0"/>
    <x v="0"/>
    <n v="0"/>
    <x v="0"/>
    <n v="8668"/>
    <n v="12"/>
    <x v="0"/>
    <d v="2025-05-30T00:00:00"/>
  </r>
  <r>
    <s v="P1037"/>
    <x v="1"/>
    <x v="36"/>
    <n v="0"/>
    <x v="0"/>
    <n v="0"/>
    <x v="2"/>
    <n v="12416"/>
    <n v="9"/>
    <x v="2"/>
    <d v="2025-06-13T00:00:00"/>
  </r>
  <r>
    <s v="P1038"/>
    <x v="0"/>
    <x v="37"/>
    <n v="0"/>
    <x v="0"/>
    <n v="0"/>
    <x v="1"/>
    <n v="42644"/>
    <n v="15"/>
    <x v="1"/>
    <d v="2025-05-18T00:00:00"/>
  </r>
  <r>
    <s v="P1039"/>
    <x v="0"/>
    <x v="38"/>
    <n v="0"/>
    <x v="1"/>
    <n v="0"/>
    <x v="3"/>
    <n v="63832"/>
    <n v="11"/>
    <x v="3"/>
    <d v="2025-06-08T00:00:00"/>
  </r>
  <r>
    <s v="P1040"/>
    <x v="0"/>
    <x v="39"/>
    <n v="0"/>
    <x v="0"/>
    <n v="0"/>
    <x v="2"/>
    <n v="3693"/>
    <n v="1"/>
    <x v="4"/>
    <d v="2025-12-26T00:00:00"/>
  </r>
  <r>
    <s v="P1041"/>
    <x v="1"/>
    <x v="40"/>
    <n v="0"/>
    <x v="0"/>
    <m/>
    <x v="2"/>
    <n v="8140"/>
    <n v="4"/>
    <x v="0"/>
    <d v="2025-07-21T00:00:00"/>
  </r>
  <r>
    <s v="P1042"/>
    <x v="1"/>
    <x v="41"/>
    <n v="0"/>
    <x v="1"/>
    <n v="0"/>
    <x v="0"/>
    <n v="66287"/>
    <n v="18"/>
    <x v="0"/>
    <d v="2025-03-27T00:00:00"/>
  </r>
  <r>
    <s v="P1043"/>
    <x v="2"/>
    <x v="42"/>
    <n v="0"/>
    <x v="0"/>
    <n v="0"/>
    <x v="0"/>
    <n v="58361"/>
    <n v="13"/>
    <x v="1"/>
    <d v="2025-05-21T00:00:00"/>
  </r>
  <r>
    <s v="P1044"/>
    <x v="3"/>
    <x v="43"/>
    <n v="0"/>
    <x v="0"/>
    <n v="0"/>
    <x v="1"/>
    <n v="20606"/>
    <n v="18"/>
    <x v="4"/>
    <d v="2025-09-10T00:00:00"/>
  </r>
  <r>
    <s v="P1045"/>
    <x v="2"/>
    <x v="44"/>
    <n v="0"/>
    <x v="0"/>
    <n v="0"/>
    <x v="3"/>
    <n v="61561"/>
    <n v="12"/>
    <x v="1"/>
    <d v="2025-10-26T00:00:00"/>
  </r>
  <r>
    <s v="P1046"/>
    <x v="0"/>
    <x v="45"/>
    <n v="29"/>
    <x v="2"/>
    <n v="187666"/>
    <x v="4"/>
    <n v="73991"/>
    <n v="6"/>
    <x v="5"/>
    <d v="2025-09-23T00:00:00"/>
  </r>
  <r>
    <s v="P1047"/>
    <x v="2"/>
    <x v="46"/>
    <n v="87"/>
    <x v="2"/>
    <n v="130512"/>
    <x v="4"/>
    <n v="28610"/>
    <n v="13"/>
    <x v="5"/>
    <d v="2025-04-17T00:00:00"/>
  </r>
  <r>
    <s v="P1048"/>
    <x v="2"/>
    <x v="47"/>
    <n v="30"/>
    <x v="2"/>
    <n v="28639"/>
    <x v="4"/>
    <n v="13947"/>
    <n v="2"/>
    <x v="5"/>
    <d v="2025-09-09T00:00:00"/>
  </r>
  <r>
    <s v="P1049"/>
    <x v="2"/>
    <x v="48"/>
    <n v="57"/>
    <x v="2"/>
    <n v="39460"/>
    <x v="4"/>
    <n v="71331"/>
    <n v="0"/>
    <x v="5"/>
    <d v="2025-07-15T00:00:00"/>
  </r>
  <r>
    <s v="P1050"/>
    <x v="3"/>
    <x v="49"/>
    <n v="13"/>
    <x v="2"/>
    <n v="135426"/>
    <x v="4"/>
    <n v="12361"/>
    <n v="18"/>
    <x v="5"/>
    <d v="2025-10-07T00:00:00"/>
  </r>
  <r>
    <s v="P1051"/>
    <x v="1"/>
    <x v="50"/>
    <n v="37"/>
    <x v="2"/>
    <n v="132818"/>
    <x v="4"/>
    <n v="61502"/>
    <n v="18"/>
    <x v="5"/>
    <d v="2026-03-16T00:00:00"/>
  </r>
  <r>
    <s v="P1052"/>
    <x v="2"/>
    <x v="51"/>
    <n v="66"/>
    <x v="2"/>
    <n v="180111"/>
    <x v="4"/>
    <n v="8557"/>
    <n v="18"/>
    <x v="5"/>
    <d v="2025-10-15T00:00:00"/>
  </r>
  <r>
    <s v="P1053"/>
    <x v="1"/>
    <x v="52"/>
    <n v="48"/>
    <x v="2"/>
    <n v="223708"/>
    <x v="4"/>
    <n v="76941"/>
    <n v="13"/>
    <x v="5"/>
    <d v="2025-03-15T00:00:00"/>
  </r>
  <r>
    <s v="P1054"/>
    <x v="3"/>
    <x v="53"/>
    <n v="2"/>
    <x v="2"/>
    <n v="208927"/>
    <x v="4"/>
    <n v="64303"/>
    <n v="9"/>
    <x v="5"/>
    <d v="2025-11-22T00:00:00"/>
  </r>
  <r>
    <s v="P1055"/>
    <x v="2"/>
    <x v="54"/>
    <n v="70"/>
    <x v="2"/>
    <n v="205957"/>
    <x v="4"/>
    <n v="78548"/>
    <n v="7"/>
    <x v="5"/>
    <d v="2025-08-02T00:00:00"/>
  </r>
  <r>
    <s v="P1056"/>
    <x v="0"/>
    <x v="55"/>
    <n v="81"/>
    <x v="2"/>
    <n v="106486"/>
    <x v="4"/>
    <n v="1161"/>
    <n v="3"/>
    <x v="5"/>
    <d v="2025-03-06T00:00:00"/>
  </r>
  <r>
    <s v="P1057"/>
    <x v="0"/>
    <x v="21"/>
    <n v="26"/>
    <x v="2"/>
    <n v="60959"/>
    <x v="4"/>
    <n v="6977"/>
    <n v="7"/>
    <x v="5"/>
    <d v="2025-09-17T00:00:00"/>
  </r>
  <r>
    <s v="P1058"/>
    <x v="3"/>
    <x v="48"/>
    <n v="50"/>
    <x v="2"/>
    <n v="188509"/>
    <x v="4"/>
    <n v="78721"/>
    <n v="13"/>
    <x v="5"/>
    <d v="2025-06-21T00:00:00"/>
  </r>
  <r>
    <s v="P1059"/>
    <x v="3"/>
    <x v="56"/>
    <n v="51"/>
    <x v="2"/>
    <n v="111054"/>
    <x v="4"/>
    <n v="53629"/>
    <n v="11"/>
    <x v="5"/>
    <d v="2025-09-28T00:00:00"/>
  </r>
  <r>
    <s v="P1060"/>
    <x v="1"/>
    <x v="57"/>
    <n v="16"/>
    <x v="2"/>
    <n v="12625"/>
    <x v="4"/>
    <n v="54207"/>
    <n v="3"/>
    <x v="5"/>
    <d v="2025-05-16T00:00:00"/>
  </r>
  <r>
    <s v="P1061"/>
    <x v="1"/>
    <x v="31"/>
    <n v="55"/>
    <x v="2"/>
    <n v="178442"/>
    <x v="4"/>
    <n v="24424"/>
    <n v="12"/>
    <x v="5"/>
    <d v="2025-11-14T00:00:00"/>
  </r>
  <r>
    <s v="P1062"/>
    <x v="2"/>
    <x v="58"/>
    <n v="50"/>
    <x v="2"/>
    <n v="39159"/>
    <x v="4"/>
    <n v="41253"/>
    <n v="1"/>
    <x v="5"/>
    <d v="2025-09-21T00:00:00"/>
  </r>
  <r>
    <s v="P1063"/>
    <x v="2"/>
    <x v="59"/>
    <n v="90"/>
    <x v="2"/>
    <n v="247752"/>
    <x v="4"/>
    <n v="3770"/>
    <n v="17"/>
    <x v="5"/>
    <d v="2025-05-18T00:00:00"/>
  </r>
  <r>
    <s v="P1064"/>
    <x v="3"/>
    <x v="60"/>
    <n v="83"/>
    <x v="2"/>
    <n v="83992"/>
    <x v="4"/>
    <n v="76447"/>
    <n v="10"/>
    <x v="5"/>
    <d v="2026-01-24T00:00:00"/>
  </r>
  <r>
    <s v="P1065"/>
    <x v="1"/>
    <x v="61"/>
    <n v="21"/>
    <x v="2"/>
    <n v="106720"/>
    <x v="4"/>
    <n v="68671"/>
    <n v="17"/>
    <x v="5"/>
    <d v="2026-02-22T00:00:00"/>
  </r>
  <r>
    <s v="P1066"/>
    <x v="1"/>
    <x v="62"/>
    <n v="67"/>
    <x v="2"/>
    <n v="82662"/>
    <x v="4"/>
    <n v="42186"/>
    <n v="14"/>
    <x v="5"/>
    <d v="2026-04-10T00:00:00"/>
  </r>
  <r>
    <s v="P1067"/>
    <x v="3"/>
    <x v="63"/>
    <n v="23"/>
    <x v="2"/>
    <n v="203777"/>
    <x v="4"/>
    <n v="28288"/>
    <n v="11"/>
    <x v="5"/>
    <d v="2026-02-01T00:00:00"/>
  </r>
  <r>
    <s v="P1068"/>
    <x v="0"/>
    <x v="64"/>
    <n v="67"/>
    <x v="2"/>
    <n v="217343"/>
    <x v="4"/>
    <n v="51770"/>
    <n v="8"/>
    <x v="5"/>
    <d v="2025-10-06T00:00:00"/>
  </r>
  <r>
    <s v="P1069"/>
    <x v="3"/>
    <x v="65"/>
    <n v="8"/>
    <x v="2"/>
    <n v="165178"/>
    <x v="4"/>
    <n v="74364"/>
    <n v="2"/>
    <x v="5"/>
    <d v="2025-08-24T00:00:00"/>
  </r>
  <r>
    <s v="P1070"/>
    <x v="3"/>
    <x v="66"/>
    <n v="75"/>
    <x v="2"/>
    <n v="127982"/>
    <x v="4"/>
    <n v="36162"/>
    <n v="16"/>
    <x v="5"/>
    <d v="2026-01-30T00:00:00"/>
  </r>
  <r>
    <s v="P1071"/>
    <x v="2"/>
    <x v="67"/>
    <n v="80"/>
    <x v="2"/>
    <n v="104150"/>
    <x v="4"/>
    <n v="61551"/>
    <n v="17"/>
    <x v="5"/>
    <d v="2025-05-09T00:00:00"/>
  </r>
  <r>
    <s v="P1072"/>
    <x v="1"/>
    <x v="68"/>
    <n v="78"/>
    <x v="2"/>
    <n v="108262"/>
    <x v="4"/>
    <n v="67905"/>
    <n v="3"/>
    <x v="5"/>
    <d v="2026-03-26T00:00:00"/>
  </r>
  <r>
    <s v="P1073"/>
    <x v="2"/>
    <x v="69"/>
    <n v="84"/>
    <x v="2"/>
    <n v="185940"/>
    <x v="4"/>
    <n v="15776"/>
    <n v="12"/>
    <x v="5"/>
    <d v="2026-01-10T00:00:00"/>
  </r>
  <r>
    <s v="P1074"/>
    <x v="3"/>
    <x v="70"/>
    <n v="69"/>
    <x v="2"/>
    <n v="105500"/>
    <x v="4"/>
    <n v="2156"/>
    <n v="17"/>
    <x v="5"/>
    <d v="2025-08-15T00:00:00"/>
  </r>
  <r>
    <s v="P1075"/>
    <x v="0"/>
    <x v="71"/>
    <n v="54"/>
    <x v="2"/>
    <n v="106026"/>
    <x v="4"/>
    <n v="67065"/>
    <n v="16"/>
    <x v="5"/>
    <d v="2025-10-29T00:00:00"/>
  </r>
  <r>
    <s v="P1076"/>
    <x v="2"/>
    <x v="72"/>
    <n v="0"/>
    <x v="2"/>
    <n v="185245"/>
    <x v="4"/>
    <n v="45978"/>
    <n v="2"/>
    <x v="5"/>
    <d v="2025-11-16T00:00:00"/>
  </r>
  <r>
    <s v="P1077"/>
    <x v="2"/>
    <x v="73"/>
    <n v="44"/>
    <x v="2"/>
    <n v="96121"/>
    <x v="4"/>
    <n v="9763"/>
    <n v="10"/>
    <x v="5"/>
    <d v="2025-08-10T00:00:00"/>
  </r>
  <r>
    <s v="P1078"/>
    <x v="2"/>
    <x v="74"/>
    <n v="59"/>
    <x v="2"/>
    <n v="193777"/>
    <x v="4"/>
    <n v="58162"/>
    <n v="14"/>
    <x v="5"/>
    <d v="2025-03-30T00:00:00"/>
  </r>
  <r>
    <s v="P1079"/>
    <x v="2"/>
    <x v="55"/>
    <n v="61"/>
    <x v="2"/>
    <n v="37516"/>
    <x v="4"/>
    <n v="62288"/>
    <n v="17"/>
    <x v="5"/>
    <d v="2025-04-04T00:00:00"/>
  </r>
  <r>
    <s v="P1080"/>
    <x v="3"/>
    <x v="73"/>
    <n v="70"/>
    <x v="2"/>
    <n v="234610"/>
    <x v="4"/>
    <n v="70450"/>
    <n v="13"/>
    <x v="5"/>
    <d v="2025-09-14T00:00:00"/>
  </r>
  <r>
    <s v="P1081"/>
    <x v="2"/>
    <x v="75"/>
    <n v="79"/>
    <x v="1"/>
    <n v="94994"/>
    <x v="2"/>
    <n v="79435"/>
    <n v="17"/>
    <x v="0"/>
    <m/>
  </r>
  <r>
    <s v="P1082"/>
    <x v="2"/>
    <x v="75"/>
    <n v="72"/>
    <x v="3"/>
    <n v="136340"/>
    <x v="0"/>
    <n v="18953"/>
    <n v="7"/>
    <x v="0"/>
    <m/>
  </r>
  <r>
    <s v="P1083"/>
    <x v="3"/>
    <x v="75"/>
    <n v="75"/>
    <x v="0"/>
    <n v="210067"/>
    <x v="2"/>
    <n v="10256"/>
    <n v="18"/>
    <x v="3"/>
    <m/>
  </r>
  <r>
    <s v="P1084"/>
    <x v="1"/>
    <x v="75"/>
    <n v="39"/>
    <x v="3"/>
    <n v="183204"/>
    <x v="1"/>
    <n v="38939"/>
    <n v="14"/>
    <x v="4"/>
    <m/>
  </r>
  <r>
    <s v="P1085"/>
    <x v="0"/>
    <x v="75"/>
    <n v="0"/>
    <x v="3"/>
    <n v="165909"/>
    <x v="0"/>
    <n v="23016"/>
    <n v="7"/>
    <x v="1"/>
    <m/>
  </r>
  <r>
    <s v="P1086"/>
    <x v="1"/>
    <x v="75"/>
    <n v="8"/>
    <x v="1"/>
    <n v="177176"/>
    <x v="2"/>
    <n v="2271"/>
    <n v="11"/>
    <x v="0"/>
    <m/>
  </r>
  <r>
    <s v="P1087"/>
    <x v="1"/>
    <x v="75"/>
    <n v="61"/>
    <x v="0"/>
    <n v="108589"/>
    <x v="0"/>
    <n v="11641"/>
    <n v="3"/>
    <x v="3"/>
    <m/>
  </r>
  <r>
    <s v="P1088"/>
    <x v="0"/>
    <x v="75"/>
    <n v="4"/>
    <x v="1"/>
    <n v="176550"/>
    <x v="0"/>
    <n v="64589"/>
    <n v="0"/>
    <x v="2"/>
    <m/>
  </r>
  <r>
    <s v="P1089"/>
    <x v="0"/>
    <x v="75"/>
    <n v="56"/>
    <x v="4"/>
    <n v="241915"/>
    <x v="3"/>
    <n v="30157"/>
    <n v="7"/>
    <x v="4"/>
    <m/>
  </r>
  <r>
    <s v="P1090"/>
    <x v="3"/>
    <x v="75"/>
    <n v="10"/>
    <x v="0"/>
    <n v="49892"/>
    <x v="0"/>
    <n v="76728"/>
    <n v="13"/>
    <x v="4"/>
    <m/>
  </r>
  <r>
    <s v="P1091"/>
    <x v="2"/>
    <x v="75"/>
    <n v="37"/>
    <x v="1"/>
    <n v="136884"/>
    <x v="1"/>
    <n v="74735"/>
    <n v="1"/>
    <x v="4"/>
    <m/>
  </r>
  <r>
    <s v="P1092"/>
    <x v="1"/>
    <x v="75"/>
    <n v="13"/>
    <x v="4"/>
    <n v="43447"/>
    <x v="2"/>
    <n v="52411"/>
    <n v="16"/>
    <x v="4"/>
    <m/>
  </r>
  <r>
    <s v="P1093"/>
    <x v="0"/>
    <x v="75"/>
    <n v="38"/>
    <x v="0"/>
    <n v="126492"/>
    <x v="2"/>
    <n v="61604"/>
    <n v="11"/>
    <x v="1"/>
    <m/>
  </r>
  <r>
    <s v="P1094"/>
    <x v="0"/>
    <x v="75"/>
    <n v="61"/>
    <x v="0"/>
    <n v="54990"/>
    <x v="1"/>
    <n v="39291"/>
    <n v="9"/>
    <x v="2"/>
    <m/>
  </r>
  <r>
    <s v="P1095"/>
    <x v="3"/>
    <x v="75"/>
    <n v="33"/>
    <x v="3"/>
    <n v="68576"/>
    <x v="3"/>
    <n v="16717"/>
    <n v="5"/>
    <x v="2"/>
    <m/>
  </r>
  <r>
    <s v="P1096"/>
    <x v="2"/>
    <x v="75"/>
    <n v="78"/>
    <x v="3"/>
    <n v="99399"/>
    <x v="1"/>
    <n v="28065"/>
    <n v="17"/>
    <x v="4"/>
    <m/>
  </r>
  <r>
    <s v="P1097"/>
    <x v="0"/>
    <x v="75"/>
    <n v="67"/>
    <x v="3"/>
    <n v="113849"/>
    <x v="0"/>
    <n v="48492"/>
    <n v="2"/>
    <x v="0"/>
    <m/>
  </r>
  <r>
    <s v="P1098"/>
    <x v="3"/>
    <x v="75"/>
    <n v="38"/>
    <x v="3"/>
    <n v="183162"/>
    <x v="3"/>
    <n v="37022"/>
    <n v="0"/>
    <x v="0"/>
    <m/>
  </r>
  <r>
    <s v="P1099"/>
    <x v="2"/>
    <x v="75"/>
    <n v="69"/>
    <x v="0"/>
    <n v="79335"/>
    <x v="1"/>
    <n v="14994"/>
    <n v="18"/>
    <x v="3"/>
    <m/>
  </r>
  <r>
    <s v="P1100"/>
    <x v="0"/>
    <x v="75"/>
    <n v="28"/>
    <x v="0"/>
    <n v="20381"/>
    <x v="0"/>
    <n v="72608"/>
    <n v="18"/>
    <x v="4"/>
    <m/>
  </r>
  <r>
    <s v="P1101"/>
    <x v="1"/>
    <x v="75"/>
    <n v="13"/>
    <x v="4"/>
    <n v="162046"/>
    <x v="1"/>
    <n v="38405"/>
    <n v="1"/>
    <x v="4"/>
    <m/>
  </r>
  <r>
    <s v="P1102"/>
    <x v="1"/>
    <x v="75"/>
    <n v="64"/>
    <x v="1"/>
    <n v="123658"/>
    <x v="0"/>
    <n v="34969"/>
    <n v="16"/>
    <x v="4"/>
    <m/>
  </r>
  <r>
    <s v="P1103"/>
    <x v="0"/>
    <x v="75"/>
    <n v="87"/>
    <x v="0"/>
    <n v="33720"/>
    <x v="0"/>
    <n v="9207"/>
    <n v="17"/>
    <x v="4"/>
    <m/>
  </r>
  <r>
    <s v="P1104"/>
    <x v="0"/>
    <x v="75"/>
    <n v="28"/>
    <x v="3"/>
    <n v="45651"/>
    <x v="0"/>
    <n v="52537"/>
    <n v="5"/>
    <x v="2"/>
    <m/>
  </r>
  <r>
    <s v="P1105"/>
    <x v="1"/>
    <x v="75"/>
    <n v="80"/>
    <x v="0"/>
    <n v="11271"/>
    <x v="1"/>
    <n v="73364"/>
    <n v="8"/>
    <x v="2"/>
    <m/>
  </r>
  <r>
    <s v="P1106"/>
    <x v="1"/>
    <x v="75"/>
    <n v="58"/>
    <x v="0"/>
    <n v="63995"/>
    <x v="3"/>
    <n v="59340"/>
    <n v="18"/>
    <x v="0"/>
    <m/>
  </r>
  <r>
    <s v="P1107"/>
    <x v="0"/>
    <x v="75"/>
    <n v="72"/>
    <x v="3"/>
    <n v="189389"/>
    <x v="1"/>
    <n v="79800"/>
    <n v="14"/>
    <x v="0"/>
    <m/>
  </r>
  <r>
    <s v="P1108"/>
    <x v="2"/>
    <x v="75"/>
    <n v="63"/>
    <x v="3"/>
    <n v="245385"/>
    <x v="2"/>
    <n v="47776"/>
    <n v="15"/>
    <x v="4"/>
    <m/>
  </r>
  <r>
    <s v="P1109"/>
    <x v="0"/>
    <x v="75"/>
    <n v="15"/>
    <x v="3"/>
    <n v="166851"/>
    <x v="0"/>
    <n v="79239"/>
    <n v="1"/>
    <x v="1"/>
    <m/>
  </r>
  <r>
    <s v="P1110"/>
    <x v="3"/>
    <x v="75"/>
    <n v="24"/>
    <x v="4"/>
    <n v="173290"/>
    <x v="1"/>
    <n v="19206"/>
    <n v="10"/>
    <x v="4"/>
    <m/>
  </r>
  <r>
    <s v="P1111"/>
    <x v="3"/>
    <x v="75"/>
    <n v="82"/>
    <x v="4"/>
    <n v="136612"/>
    <x v="2"/>
    <n v="46637"/>
    <n v="10"/>
    <x v="4"/>
    <m/>
  </r>
  <r>
    <s v="P1112"/>
    <x v="3"/>
    <x v="75"/>
    <n v="2"/>
    <x v="0"/>
    <n v="108034"/>
    <x v="2"/>
    <n v="31721"/>
    <n v="5"/>
    <x v="3"/>
    <m/>
  </r>
  <r>
    <s v="P1113"/>
    <x v="3"/>
    <x v="75"/>
    <n v="60"/>
    <x v="3"/>
    <n v="7923"/>
    <x v="2"/>
    <n v="68368"/>
    <n v="10"/>
    <x v="2"/>
    <m/>
  </r>
  <r>
    <s v="P1114"/>
    <x v="2"/>
    <x v="75"/>
    <n v="81"/>
    <x v="3"/>
    <n v="23813"/>
    <x v="0"/>
    <n v="2615"/>
    <n v="11"/>
    <x v="3"/>
    <m/>
  </r>
  <r>
    <s v="P1115"/>
    <x v="3"/>
    <x v="75"/>
    <n v="38"/>
    <x v="0"/>
    <n v="170216"/>
    <x v="2"/>
    <n v="37776"/>
    <n v="4"/>
    <x v="3"/>
    <m/>
  </r>
  <r>
    <s v="P1116"/>
    <x v="2"/>
    <x v="75"/>
    <n v="50"/>
    <x v="1"/>
    <n v="51331"/>
    <x v="2"/>
    <n v="7242"/>
    <n v="18"/>
    <x v="2"/>
    <m/>
  </r>
  <r>
    <s v="P1117"/>
    <x v="3"/>
    <x v="75"/>
    <n v="25"/>
    <x v="0"/>
    <n v="185394"/>
    <x v="3"/>
    <n v="37552"/>
    <n v="8"/>
    <x v="3"/>
    <m/>
  </r>
  <r>
    <s v="P1118"/>
    <x v="2"/>
    <x v="75"/>
    <n v="22"/>
    <x v="3"/>
    <n v="16901"/>
    <x v="1"/>
    <n v="45849"/>
    <n v="13"/>
    <x v="0"/>
    <m/>
  </r>
  <r>
    <s v="P1119"/>
    <x v="1"/>
    <x v="75"/>
    <n v="4"/>
    <x v="1"/>
    <n v="223023"/>
    <x v="3"/>
    <n v="32924"/>
    <n v="4"/>
    <x v="1"/>
    <m/>
  </r>
  <r>
    <s v="P1120"/>
    <x v="3"/>
    <x v="75"/>
    <n v="30"/>
    <x v="1"/>
    <n v="170098"/>
    <x v="1"/>
    <n v="30092"/>
    <n v="11"/>
    <x v="3"/>
    <m/>
  </r>
  <r>
    <s v="P1121"/>
    <x v="2"/>
    <x v="76"/>
    <n v="44"/>
    <x v="1"/>
    <n v="153633"/>
    <x v="1"/>
    <n v="61828"/>
    <n v="12"/>
    <x v="4"/>
    <d v="2026-01-26T00:00:00"/>
  </r>
  <r>
    <s v="P1122"/>
    <x v="1"/>
    <x v="77"/>
    <n v="48"/>
    <x v="0"/>
    <n v="197522"/>
    <x v="0"/>
    <n v="79705"/>
    <n v="0"/>
    <x v="1"/>
    <d v="2025-08-01T00:00:00"/>
  </r>
  <r>
    <s v="P1123"/>
    <x v="1"/>
    <x v="78"/>
    <n v="35"/>
    <x v="1"/>
    <n v="204665"/>
    <x v="1"/>
    <n v="26837"/>
    <n v="3"/>
    <x v="0"/>
    <d v="2025-05-29T00:00:00"/>
  </r>
  <r>
    <s v="P1124"/>
    <x v="2"/>
    <x v="79"/>
    <n v="3"/>
    <x v="0"/>
    <n v="65058"/>
    <x v="1"/>
    <n v="14432"/>
    <n v="6"/>
    <x v="4"/>
    <d v="2025-05-14T00:00:00"/>
  </r>
  <r>
    <s v="P1125"/>
    <x v="0"/>
    <x v="80"/>
    <n v="55"/>
    <x v="1"/>
    <n v="178730"/>
    <x v="3"/>
    <n v="76223"/>
    <n v="14"/>
    <x v="2"/>
    <d v="2025-10-10T00:00:00"/>
  </r>
  <r>
    <s v="P1126"/>
    <x v="1"/>
    <x v="81"/>
    <n v="32"/>
    <x v="1"/>
    <n v="111973"/>
    <x v="2"/>
    <n v="65799"/>
    <n v="12"/>
    <x v="3"/>
    <d v="2025-09-30T00:00:00"/>
  </r>
  <r>
    <s v="P1127"/>
    <x v="3"/>
    <x v="82"/>
    <n v="22"/>
    <x v="1"/>
    <n v="153955"/>
    <x v="2"/>
    <n v="49931"/>
    <n v="2"/>
    <x v="3"/>
    <d v="2025-03-12T00:00:00"/>
  </r>
  <r>
    <s v="P1128"/>
    <x v="1"/>
    <x v="83"/>
    <n v="51"/>
    <x v="1"/>
    <n v="77888"/>
    <x v="2"/>
    <n v="20131"/>
    <n v="0"/>
    <x v="4"/>
    <d v="2025-09-28T00:00:00"/>
  </r>
  <r>
    <s v="P1129"/>
    <x v="2"/>
    <x v="26"/>
    <n v="73"/>
    <x v="0"/>
    <n v="177828"/>
    <x v="0"/>
    <n v="57314"/>
    <n v="14"/>
    <x v="1"/>
    <d v="2025-07-27T00:00:00"/>
  </r>
  <r>
    <s v="P1130"/>
    <x v="2"/>
    <x v="84"/>
    <n v="47"/>
    <x v="0"/>
    <n v="84432"/>
    <x v="0"/>
    <n v="56516"/>
    <n v="16"/>
    <x v="1"/>
    <d v="2026-01-30T00:00:00"/>
  </r>
  <r>
    <s v="P1131"/>
    <x v="1"/>
    <x v="85"/>
    <n v="33"/>
    <x v="0"/>
    <n v="10291"/>
    <x v="3"/>
    <n v="12137"/>
    <n v="11"/>
    <x v="0"/>
    <d v="2025-08-03T00:00:00"/>
  </r>
  <r>
    <s v="P1132"/>
    <x v="0"/>
    <x v="86"/>
    <n v="19"/>
    <x v="0"/>
    <n v="200920"/>
    <x v="0"/>
    <n v="63095"/>
    <n v="3"/>
    <x v="3"/>
    <d v="2025-08-19T00:00:00"/>
  </r>
  <r>
    <s v="P1133"/>
    <x v="2"/>
    <x v="87"/>
    <n v="63"/>
    <x v="1"/>
    <n v="149088"/>
    <x v="2"/>
    <n v="46893"/>
    <n v="6"/>
    <x v="2"/>
    <d v="2025-09-22T00:00:00"/>
  </r>
  <r>
    <s v="P1134"/>
    <x v="2"/>
    <x v="88"/>
    <n v="47"/>
    <x v="1"/>
    <n v="208520"/>
    <x v="1"/>
    <n v="31766"/>
    <n v="5"/>
    <x v="0"/>
    <d v="2026-02-19T00:00:00"/>
  </r>
  <r>
    <s v="P1135"/>
    <x v="1"/>
    <x v="89"/>
    <n v="36"/>
    <x v="1"/>
    <n v="228702"/>
    <x v="0"/>
    <n v="39276"/>
    <n v="2"/>
    <x v="1"/>
    <d v="2026-01-05T00:00:00"/>
  </r>
  <r>
    <s v="P1136"/>
    <x v="3"/>
    <x v="90"/>
    <n v="56"/>
    <x v="0"/>
    <n v="6667"/>
    <x v="3"/>
    <n v="72787"/>
    <n v="17"/>
    <x v="3"/>
    <d v="2025-01-21T00:00:00"/>
  </r>
  <r>
    <s v="P1137"/>
    <x v="2"/>
    <x v="91"/>
    <n v="75"/>
    <x v="0"/>
    <n v="213393"/>
    <x v="2"/>
    <n v="43625"/>
    <n v="1"/>
    <x v="4"/>
    <d v="2025-07-10T00:00:00"/>
  </r>
  <r>
    <s v="P1138"/>
    <x v="1"/>
    <x v="72"/>
    <n v="72"/>
    <x v="0"/>
    <n v="207056"/>
    <x v="3"/>
    <n v="74024"/>
    <n v="15"/>
    <x v="0"/>
    <d v="2025-10-31T00:00:00"/>
  </r>
  <r>
    <s v="P1139"/>
    <x v="2"/>
    <x v="92"/>
    <n v="64"/>
    <x v="0"/>
    <n v="108911"/>
    <x v="0"/>
    <n v="65502"/>
    <n v="12"/>
    <x v="3"/>
    <d v="2025-08-02T00:00:00"/>
  </r>
  <r>
    <s v="P1140"/>
    <x v="2"/>
    <x v="93"/>
    <n v="74"/>
    <x v="0"/>
    <n v="143709"/>
    <x v="1"/>
    <n v="4127"/>
    <n v="18"/>
    <x v="2"/>
    <d v="2025-11-21T00:00:00"/>
  </r>
  <r>
    <s v="P1141"/>
    <x v="1"/>
    <x v="94"/>
    <n v="36"/>
    <x v="1"/>
    <n v="162184"/>
    <x v="3"/>
    <n v="48888"/>
    <n v="1"/>
    <x v="0"/>
    <d v="2025-04-25T00:00:00"/>
  </r>
  <r>
    <s v="P1142"/>
    <x v="1"/>
    <x v="95"/>
    <n v="15"/>
    <x v="1"/>
    <n v="75904"/>
    <x v="1"/>
    <n v="900"/>
    <n v="13"/>
    <x v="0"/>
    <d v="2025-12-12T00:00:00"/>
  </r>
  <r>
    <s v="P1143"/>
    <x v="2"/>
    <x v="96"/>
    <n v="83"/>
    <x v="0"/>
    <n v="96593"/>
    <x v="1"/>
    <n v="3422"/>
    <n v="16"/>
    <x v="4"/>
    <d v="2025-10-23T00:00:00"/>
  </r>
  <r>
    <s v="P1144"/>
    <x v="1"/>
    <x v="78"/>
    <n v="84"/>
    <x v="0"/>
    <n v="15291"/>
    <x v="2"/>
    <n v="3737"/>
    <n v="8"/>
    <x v="1"/>
    <d v="2025-07-26T00:00:00"/>
  </r>
  <r>
    <s v="P1145"/>
    <x v="3"/>
    <x v="97"/>
    <n v="80"/>
    <x v="0"/>
    <n v="229950"/>
    <x v="3"/>
    <n v="14980"/>
    <n v="4"/>
    <x v="0"/>
    <d v="2025-08-29T00:00:00"/>
  </r>
  <r>
    <s v="P1146"/>
    <x v="1"/>
    <x v="98"/>
    <n v="62"/>
    <x v="1"/>
    <n v="158673"/>
    <x v="2"/>
    <n v="15972"/>
    <n v="6"/>
    <x v="1"/>
    <d v="2025-06-18T00:00:00"/>
  </r>
  <r>
    <s v="P1147"/>
    <x v="1"/>
    <x v="19"/>
    <n v="23"/>
    <x v="1"/>
    <n v="55476"/>
    <x v="1"/>
    <n v="39523"/>
    <n v="8"/>
    <x v="2"/>
    <d v="2025-10-26T00:00:00"/>
  </r>
  <r>
    <s v="P1148"/>
    <x v="3"/>
    <x v="99"/>
    <n v="67"/>
    <x v="1"/>
    <n v="199482"/>
    <x v="2"/>
    <n v="36137"/>
    <n v="11"/>
    <x v="0"/>
    <d v="2025-12-18T00:00:00"/>
  </r>
  <r>
    <s v="P1149"/>
    <x v="1"/>
    <x v="55"/>
    <n v="45"/>
    <x v="0"/>
    <n v="219571"/>
    <x v="1"/>
    <n v="21425"/>
    <n v="18"/>
    <x v="2"/>
    <d v="2025-03-04T00:00:00"/>
  </r>
  <r>
    <s v="P1150"/>
    <x v="1"/>
    <x v="66"/>
    <n v="81"/>
    <x v="0"/>
    <n v="199713"/>
    <x v="1"/>
    <n v="42845"/>
    <n v="8"/>
    <x v="0"/>
    <d v="2026-01-20T00:00:00"/>
  </r>
  <r>
    <s v="P1151"/>
    <x v="1"/>
    <x v="36"/>
    <n v="22"/>
    <x v="0"/>
    <n v="201497"/>
    <x v="2"/>
    <n v="72654"/>
    <n v="1"/>
    <x v="3"/>
    <d v="2025-04-27T00:00:00"/>
  </r>
  <r>
    <s v="P1152"/>
    <x v="3"/>
    <x v="100"/>
    <n v="49"/>
    <x v="0"/>
    <n v="35133"/>
    <x v="3"/>
    <n v="36081"/>
    <n v="14"/>
    <x v="0"/>
    <d v="2025-12-25T00:00:00"/>
  </r>
  <r>
    <s v="P1153"/>
    <x v="1"/>
    <x v="61"/>
    <n v="2"/>
    <x v="1"/>
    <n v="101739"/>
    <x v="2"/>
    <n v="27924"/>
    <n v="9"/>
    <x v="4"/>
    <d v="2026-01-25T00:00:00"/>
  </r>
  <r>
    <s v="P1154"/>
    <x v="0"/>
    <x v="101"/>
    <n v="60"/>
    <x v="0"/>
    <n v="118005"/>
    <x v="0"/>
    <n v="23483"/>
    <n v="4"/>
    <x v="1"/>
    <d v="2026-03-01T00:00:00"/>
  </r>
  <r>
    <s v="P1155"/>
    <x v="2"/>
    <x v="102"/>
    <n v="14"/>
    <x v="0"/>
    <n v="192359"/>
    <x v="0"/>
    <n v="41168"/>
    <n v="9"/>
    <x v="2"/>
    <d v="2025-10-22T00:00:00"/>
  </r>
  <r>
    <s v="P1156"/>
    <x v="0"/>
    <x v="103"/>
    <n v="65"/>
    <x v="0"/>
    <n v="229068"/>
    <x v="1"/>
    <n v="15568"/>
    <n v="9"/>
    <x v="2"/>
    <d v="2025-06-10T00:00:00"/>
  </r>
  <r>
    <s v="P1157"/>
    <x v="0"/>
    <x v="104"/>
    <n v="3"/>
    <x v="0"/>
    <n v="214250"/>
    <x v="0"/>
    <n v="22245"/>
    <n v="15"/>
    <x v="2"/>
    <d v="2025-05-29T00:00:00"/>
  </r>
  <r>
    <s v="P1158"/>
    <x v="1"/>
    <x v="96"/>
    <n v="16"/>
    <x v="0"/>
    <n v="223309"/>
    <x v="3"/>
    <n v="61229"/>
    <n v="16"/>
    <x v="4"/>
    <d v="2025-10-20T00:00:00"/>
  </r>
  <r>
    <s v="P1159"/>
    <x v="0"/>
    <x v="105"/>
    <n v="35"/>
    <x v="1"/>
    <n v="166500"/>
    <x v="3"/>
    <n v="7768"/>
    <n v="5"/>
    <x v="2"/>
    <d v="2025-09-13T00:00:00"/>
  </r>
  <r>
    <s v="P1160"/>
    <x v="3"/>
    <x v="106"/>
    <n v="63"/>
    <x v="0"/>
    <n v="183095"/>
    <x v="3"/>
    <n v="19145"/>
    <n v="0"/>
    <x v="3"/>
    <d v="2025-11-29T00:00:00"/>
  </r>
  <r>
    <s v="P1161"/>
    <x v="3"/>
    <x v="107"/>
    <n v="58"/>
    <x v="1"/>
    <n v="24779"/>
    <x v="0"/>
    <n v="23241"/>
    <n v="14"/>
    <x v="4"/>
    <d v="2025-04-30T00:00:00"/>
  </r>
  <r>
    <s v="P1162"/>
    <x v="2"/>
    <x v="108"/>
    <n v="71"/>
    <x v="1"/>
    <n v="168331"/>
    <x v="0"/>
    <n v="30754"/>
    <n v="3"/>
    <x v="4"/>
    <d v="2025-02-13T00:00:00"/>
  </r>
  <r>
    <s v="P1163"/>
    <x v="2"/>
    <x v="109"/>
    <n v="83"/>
    <x v="1"/>
    <n v="146152"/>
    <x v="3"/>
    <n v="3335"/>
    <n v="13"/>
    <x v="1"/>
    <d v="2025-04-09T00:00:00"/>
  </r>
  <r>
    <s v="P1164"/>
    <x v="1"/>
    <x v="105"/>
    <n v="5"/>
    <x v="1"/>
    <n v="46693"/>
    <x v="1"/>
    <n v="1205"/>
    <n v="13"/>
    <x v="3"/>
    <d v="2025-10-19T00:00:00"/>
  </r>
  <r>
    <s v="P1165"/>
    <x v="1"/>
    <x v="110"/>
    <n v="79"/>
    <x v="1"/>
    <n v="93490"/>
    <x v="1"/>
    <n v="20282"/>
    <n v="16"/>
    <x v="3"/>
    <d v="2025-08-03T00:00:00"/>
  </r>
  <r>
    <s v="P1166"/>
    <x v="2"/>
    <x v="111"/>
    <n v="86"/>
    <x v="0"/>
    <n v="205158"/>
    <x v="3"/>
    <n v="7620"/>
    <n v="6"/>
    <x v="2"/>
    <d v="2025-10-03T00:00:00"/>
  </r>
  <r>
    <s v="P1167"/>
    <x v="1"/>
    <x v="112"/>
    <n v="26"/>
    <x v="1"/>
    <n v="27214"/>
    <x v="2"/>
    <n v="36021"/>
    <n v="5"/>
    <x v="1"/>
    <d v="2025-05-14T00:00:00"/>
  </r>
  <r>
    <s v="P1168"/>
    <x v="0"/>
    <x v="69"/>
    <n v="17"/>
    <x v="1"/>
    <n v="174402"/>
    <x v="3"/>
    <n v="42163"/>
    <n v="5"/>
    <x v="1"/>
    <d v="2026-02-24T00:00:00"/>
  </r>
  <r>
    <s v="P1169"/>
    <x v="2"/>
    <x v="113"/>
    <n v="5"/>
    <x v="1"/>
    <n v="129277"/>
    <x v="2"/>
    <n v="75615"/>
    <n v="15"/>
    <x v="1"/>
    <d v="2025-07-09T00:00:00"/>
  </r>
  <r>
    <s v="P1170"/>
    <x v="0"/>
    <x v="114"/>
    <n v="83"/>
    <x v="0"/>
    <n v="237048"/>
    <x v="3"/>
    <n v="34182"/>
    <n v="16"/>
    <x v="1"/>
    <d v="2025-10-0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782282-C112-4D2D-AD0E-2F9DF9D41388}"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6:G31" firstHeaderRow="0" firstDataRow="1" firstDataCol="1"/>
  <pivotFields count="11">
    <pivotField showAll="0"/>
    <pivotField axis="axisRow" showAll="0">
      <items count="5">
        <item x="0"/>
        <item x="1"/>
        <item x="2"/>
        <item x="3"/>
        <item t="default"/>
      </items>
    </pivotField>
    <pivotField showAll="0"/>
    <pivotField showAll="0"/>
    <pivotField showAll="0"/>
    <pivotField showAll="0"/>
    <pivotField showAll="0">
      <items count="6">
        <item x="0"/>
        <item x="1"/>
        <item x="2"/>
        <item x="3"/>
        <item x="4"/>
        <item t="default"/>
      </items>
    </pivotField>
    <pivotField dataField="1" showAll="0"/>
    <pivotField dataField="1"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Average of los_days" fld="8" subtotal="average" baseField="1" baseItem="0"/>
    <dataField name="Average of cost_kes" fld="7" subtotal="average" baseField="1" baseItem="0"/>
  </dataFields>
  <formats count="1">
    <format dxfId="2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1" count="1" selected="0">
            <x v="0"/>
          </reference>
        </references>
      </pivotArea>
    </chartFormat>
    <chartFormat chart="3" format="19">
      <pivotArea type="data" outline="0" fieldPosition="0">
        <references count="2">
          <reference field="4294967294" count="1" selected="0">
            <x v="1"/>
          </reference>
          <reference field="1" count="1" selected="0">
            <x v="1"/>
          </reference>
        </references>
      </pivotArea>
    </chartFormat>
    <chartFormat chart="3" format="20">
      <pivotArea type="data" outline="0" fieldPosition="0">
        <references count="2">
          <reference field="4294967294" count="1" selected="0">
            <x v="1"/>
          </reference>
          <reference field="1" count="1" selected="0">
            <x v="2"/>
          </reference>
        </references>
      </pivotArea>
    </chartFormat>
    <chartFormat chart="3" format="21">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8B7953-67A3-4B14-8680-B9DE7B202947}"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25:D31" firstHeaderRow="1" firstDataRow="1" firstDataCol="1"/>
  <pivotFields count="11">
    <pivotField showAll="0"/>
    <pivotField showAll="0"/>
    <pivotField showAll="0"/>
    <pivotField showAll="0"/>
    <pivotField showAll="0"/>
    <pivotField showAll="0"/>
    <pivotField axis="axisRow" showAll="0">
      <items count="6">
        <item x="0"/>
        <item x="1"/>
        <item x="2"/>
        <item x="3"/>
        <item x="4"/>
        <item t="default"/>
      </items>
    </pivotField>
    <pivotField dataField="1" showAll="0"/>
    <pivotField showAll="0"/>
    <pivotField showAll="0"/>
    <pivotField showAll="0"/>
  </pivotFields>
  <rowFields count="1">
    <field x="6"/>
  </rowFields>
  <rowItems count="6">
    <i>
      <x/>
    </i>
    <i>
      <x v="1"/>
    </i>
    <i>
      <x v="2"/>
    </i>
    <i>
      <x v="3"/>
    </i>
    <i>
      <x v="4"/>
    </i>
    <i t="grand">
      <x/>
    </i>
  </rowItems>
  <colItems count="1">
    <i/>
  </colItems>
  <dataFields count="1">
    <dataField name="Sum of cost_kes" fld="7"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2"/>
          </reference>
        </references>
      </pivotArea>
    </chartFormat>
    <chartFormat chart="3" format="8">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D0F9EC-F36B-4A98-B85C-23C432DB8D41}"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6:E22" firstHeaderRow="0" firstDataRow="1" firstDataCol="1"/>
  <pivotFields count="11">
    <pivotField showAll="0"/>
    <pivotField showAll="0">
      <items count="5">
        <item x="0"/>
        <item x="1"/>
        <item x="2"/>
        <item x="3"/>
        <item t="default"/>
      </items>
    </pivotField>
    <pivotField showAll="0">
      <items count="116">
        <item x="6"/>
        <item x="5"/>
        <item x="0"/>
        <item x="52"/>
        <item x="90"/>
        <item x="107"/>
        <item x="55"/>
        <item x="74"/>
        <item x="11"/>
        <item x="112"/>
        <item x="82"/>
        <item x="108"/>
        <item x="10"/>
        <item x="41"/>
        <item x="27"/>
        <item x="38"/>
        <item x="36"/>
        <item x="24"/>
        <item x="46"/>
        <item x="67"/>
        <item x="109"/>
        <item x="57"/>
        <item x="25"/>
        <item x="3"/>
        <item x="16"/>
        <item x="4"/>
        <item x="59"/>
        <item x="98"/>
        <item x="94"/>
        <item x="14"/>
        <item x="26"/>
        <item x="104"/>
        <item x="79"/>
        <item x="35"/>
        <item x="103"/>
        <item x="32"/>
        <item x="15"/>
        <item x="113"/>
        <item x="30"/>
        <item x="48"/>
        <item x="78"/>
        <item x="37"/>
        <item x="40"/>
        <item x="23"/>
        <item x="97"/>
        <item x="42"/>
        <item x="43"/>
        <item x="87"/>
        <item x="77"/>
        <item x="47"/>
        <item x="20"/>
        <item x="58"/>
        <item x="91"/>
        <item x="28"/>
        <item x="111"/>
        <item x="85"/>
        <item x="92"/>
        <item x="2"/>
        <item x="49"/>
        <item x="13"/>
        <item x="73"/>
        <item x="70"/>
        <item x="110"/>
        <item x="54"/>
        <item x="86"/>
        <item x="80"/>
        <item x="105"/>
        <item x="83"/>
        <item x="96"/>
        <item x="102"/>
        <item x="114"/>
        <item x="65"/>
        <item x="18"/>
        <item x="17"/>
        <item x="19"/>
        <item x="64"/>
        <item x="21"/>
        <item x="81"/>
        <item x="56"/>
        <item x="71"/>
        <item x="51"/>
        <item x="9"/>
        <item x="22"/>
        <item x="1"/>
        <item x="33"/>
        <item x="89"/>
        <item x="45"/>
        <item x="44"/>
        <item x="72"/>
        <item x="93"/>
        <item x="63"/>
        <item x="106"/>
        <item x="12"/>
        <item x="31"/>
        <item x="66"/>
        <item x="8"/>
        <item x="53"/>
        <item x="61"/>
        <item x="29"/>
        <item x="69"/>
        <item x="99"/>
        <item x="101"/>
        <item x="95"/>
        <item x="68"/>
        <item x="100"/>
        <item x="34"/>
        <item x="84"/>
        <item x="62"/>
        <item x="39"/>
        <item x="76"/>
        <item x="50"/>
        <item x="7"/>
        <item x="60"/>
        <item x="88"/>
        <item x="75"/>
        <item t="default"/>
      </items>
    </pivotField>
    <pivotField showAll="0"/>
    <pivotField showAll="0"/>
    <pivotField showAll="0"/>
    <pivotField showAll="0">
      <items count="6">
        <item x="0"/>
        <item x="1"/>
        <item x="2"/>
        <item x="3"/>
        <item x="4"/>
        <item t="default"/>
      </items>
    </pivotField>
    <pivotField dataField="1" showAll="0"/>
    <pivotField dataField="1" showAll="0"/>
    <pivotField axis="axisRow" showAll="0">
      <items count="7">
        <item x="0"/>
        <item x="1"/>
        <item x="2"/>
        <item x="3"/>
        <item x="4"/>
        <item h="1" x="5"/>
        <item t="default"/>
      </items>
    </pivotField>
    <pivotField showAll="0"/>
  </pivotFields>
  <rowFields count="1">
    <field x="9"/>
  </rowFields>
  <rowItems count="6">
    <i>
      <x/>
    </i>
    <i>
      <x v="1"/>
    </i>
    <i>
      <x v="2"/>
    </i>
    <i>
      <x v="3"/>
    </i>
    <i>
      <x v="4"/>
    </i>
    <i t="grand">
      <x/>
    </i>
  </rowItems>
  <colFields count="1">
    <field x="-2"/>
  </colFields>
  <colItems count="2">
    <i>
      <x/>
    </i>
    <i i="1">
      <x v="1"/>
    </i>
  </colItems>
  <dataFields count="2">
    <dataField name="Average of cost_kes" fld="7" subtotal="average" baseField="9" baseItem="0"/>
    <dataField name="Average of los_days" fld="8" subtotal="average" baseField="9" baseItem="0"/>
  </dataFields>
  <formats count="1">
    <format dxfId="2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EDEE14-4F68-423C-8182-A7B919E0965B}"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L122" firstHeaderRow="1" firstDataRow="1" firstDataCol="1"/>
  <pivotFields count="11">
    <pivotField dataField="1" showAll="0"/>
    <pivotField showAll="0"/>
    <pivotField axis="axisRow" showAll="0">
      <items count="116">
        <item x="6"/>
        <item x="5"/>
        <item x="0"/>
        <item x="52"/>
        <item x="90"/>
        <item x="107"/>
        <item x="55"/>
        <item x="74"/>
        <item x="11"/>
        <item x="112"/>
        <item x="82"/>
        <item x="108"/>
        <item x="10"/>
        <item x="41"/>
        <item x="27"/>
        <item x="38"/>
        <item x="36"/>
        <item x="24"/>
        <item x="46"/>
        <item x="67"/>
        <item x="109"/>
        <item x="57"/>
        <item x="25"/>
        <item x="3"/>
        <item x="16"/>
        <item x="4"/>
        <item x="59"/>
        <item x="98"/>
        <item x="94"/>
        <item x="14"/>
        <item x="26"/>
        <item x="104"/>
        <item x="79"/>
        <item x="35"/>
        <item x="103"/>
        <item x="32"/>
        <item x="15"/>
        <item x="113"/>
        <item x="30"/>
        <item x="48"/>
        <item x="78"/>
        <item x="37"/>
        <item x="40"/>
        <item x="23"/>
        <item x="97"/>
        <item x="42"/>
        <item x="43"/>
        <item x="87"/>
        <item x="77"/>
        <item x="47"/>
        <item x="20"/>
        <item x="58"/>
        <item x="91"/>
        <item x="28"/>
        <item x="111"/>
        <item x="85"/>
        <item x="92"/>
        <item x="2"/>
        <item x="49"/>
        <item x="13"/>
        <item x="73"/>
        <item x="70"/>
        <item x="110"/>
        <item x="54"/>
        <item x="86"/>
        <item x="80"/>
        <item x="105"/>
        <item x="83"/>
        <item x="96"/>
        <item x="102"/>
        <item x="114"/>
        <item x="65"/>
        <item x="18"/>
        <item x="17"/>
        <item x="19"/>
        <item x="64"/>
        <item x="21"/>
        <item x="81"/>
        <item x="56"/>
        <item x="71"/>
        <item x="51"/>
        <item x="9"/>
        <item x="22"/>
        <item x="1"/>
        <item x="33"/>
        <item x="89"/>
        <item x="45"/>
        <item x="44"/>
        <item x="72"/>
        <item x="93"/>
        <item x="63"/>
        <item x="106"/>
        <item x="12"/>
        <item x="31"/>
        <item x="66"/>
        <item x="8"/>
        <item x="53"/>
        <item x="61"/>
        <item x="29"/>
        <item x="69"/>
        <item x="99"/>
        <item x="101"/>
        <item x="95"/>
        <item x="68"/>
        <item x="100"/>
        <item x="34"/>
        <item x="84"/>
        <item x="62"/>
        <item x="39"/>
        <item x="76"/>
        <item x="50"/>
        <item x="7"/>
        <item x="60"/>
        <item x="88"/>
        <item x="75"/>
        <item t="default"/>
      </items>
    </pivotField>
    <pivotField showAll="0"/>
    <pivotField showAll="0"/>
    <pivotField showAll="0"/>
    <pivotField showAll="0">
      <items count="6">
        <item x="0"/>
        <item x="1"/>
        <item x="2"/>
        <item x="3"/>
        <item x="4"/>
        <item t="default"/>
      </items>
    </pivotField>
    <pivotField showAll="0"/>
    <pivotField showAll="0"/>
    <pivotField showAll="0"/>
    <pivotField showAll="0"/>
  </pivotFields>
  <rowFields count="1">
    <field x="2"/>
  </rowFields>
  <rowItems count="1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4C2162-5F30-41A1-9B56-874B5E4DC0C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38" firstHeaderRow="1" firstDataRow="1" firstDataCol="1"/>
  <pivotFields count="11">
    <pivotField showAll="0"/>
    <pivotField axis="axisRow" showAll="0">
      <items count="5">
        <item x="0"/>
        <item x="1"/>
        <item x="2"/>
        <item x="3"/>
        <item t="default"/>
      </items>
    </pivotField>
    <pivotField showAll="0"/>
    <pivotField showAll="0"/>
    <pivotField showAll="0"/>
    <pivotField showAll="0"/>
    <pivotField showAll="0">
      <items count="6">
        <item x="0"/>
        <item x="1"/>
        <item x="2"/>
        <item x="3"/>
        <item x="4"/>
        <item t="default"/>
      </items>
    </pivotField>
    <pivotField showAll="0"/>
    <pivotField dataField="1" showAll="0"/>
    <pivotField axis="axisRow" showAll="0">
      <items count="7">
        <item x="0"/>
        <item x="1"/>
        <item x="2"/>
        <item x="3"/>
        <item x="4"/>
        <item h="1" x="5"/>
        <item t="default"/>
      </items>
    </pivotField>
    <pivotField showAll="0"/>
  </pivotFields>
  <rowFields count="2">
    <field x="1"/>
    <field x="9"/>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los_days"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4819CE-05D2-4C9E-B62F-2E9BCEC6B3C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C10" firstHeaderRow="0" firstDataRow="1" firstDataCol="1"/>
  <pivotFields count="11">
    <pivotField showAll="0"/>
    <pivotField showAll="0"/>
    <pivotField showAll="0"/>
    <pivotField showAll="0"/>
    <pivotField showAll="0"/>
    <pivotField dataField="1" showAll="0"/>
    <pivotField axis="axisRow" showAll="0">
      <items count="6">
        <item x="0"/>
        <item x="1"/>
        <item x="2"/>
        <item x="3"/>
        <item x="4"/>
        <item t="default"/>
      </items>
    </pivotField>
    <pivotField dataField="1"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cost_kes" fld="7" baseField="0" baseItem="0"/>
    <dataField name="Sum of income_kes"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05FCAD-01FE-48B9-A2FE-BA451E5F61E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H21" firstHeaderRow="1" firstDataRow="1" firstDataCol="0"/>
  <pivotFields count="11">
    <pivotField showAll="0"/>
    <pivotField showAll="0">
      <items count="5">
        <item x="0"/>
        <item x="1"/>
        <item x="2"/>
        <item x="3"/>
        <item t="default"/>
      </items>
    </pivotField>
    <pivotField showAll="0"/>
    <pivotField showAll="0"/>
    <pivotField showAll="0">
      <items count="6">
        <item x="3"/>
        <item x="0"/>
        <item x="4"/>
        <item x="1"/>
        <item x="2"/>
        <item t="default"/>
      </items>
    </pivotField>
    <pivotField showAll="0"/>
    <pivotField showAll="0">
      <items count="6">
        <item x="0"/>
        <item x="1"/>
        <item x="2"/>
        <item x="3"/>
        <item x="4"/>
        <item t="default"/>
      </items>
    </pivotField>
    <pivotField showAll="0"/>
    <pivotField showAll="0"/>
    <pivotField showAll="0">
      <items count="7">
        <item x="0"/>
        <item x="1"/>
        <item x="2"/>
        <item x="3"/>
        <item x="4"/>
        <item x="5"/>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 xr10:uid="{5A620B96-934D-4716-AC88-A5AF7DB2B7A5}" sourceName="facility">
  <pivotTables>
    <pivotTable tabId="2" name="PivotTable5"/>
  </pivotTables>
  <data>
    <tabular pivotCacheId="14561569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8C00E64C-3EB3-44F4-997A-E8B147BBF09B}" sourceName="insurance">
  <pivotTables>
    <pivotTable tabId="2" name="PivotTable5"/>
    <pivotTable tabId="2" name="PivotTable1"/>
    <pivotTable tabId="2" name="PivotTable2"/>
    <pivotTable tabId="2" name="PivotTable4"/>
    <pivotTable tabId="2" name="PivotTable7"/>
    <pivotTable tabId="2" name="PivotTable8"/>
  </pivotTables>
  <data>
    <tabular pivotCacheId="145615695">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xr10:uid="{862BA76D-33FE-4355-800E-E21454CE9697}" cache="Slicer_facility" caption="facility" startItem="1" rowHeight="241300"/>
  <slicer name="insurance" xr10:uid="{928CE984-FE58-4A7F-8BBA-FFDF9142FEC9}" cache="Slicer_insurance" caption="insuran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81B5D4-4B42-4304-AE34-8B212E77C977}" name="Table1" displayName="Table1" ref="A1:K171" totalsRowShown="0" headerRowDxfId="27">
  <autoFilter ref="A1:K171" xr:uid="{8F81B5D4-4B42-4304-AE34-8B212E77C977}">
    <filterColumn colId="3">
      <filters>
        <filter val="0"/>
        <filter val="13"/>
        <filter val="14"/>
        <filter val="15"/>
        <filter val="16"/>
        <filter val="17"/>
        <filter val="19"/>
        <filter val="2"/>
        <filter val="21"/>
        <filter val="22"/>
        <filter val="23"/>
        <filter val="26"/>
        <filter val="29"/>
        <filter val="3"/>
        <filter val="30"/>
        <filter val="32"/>
        <filter val="33"/>
        <filter val="35"/>
        <filter val="36"/>
        <filter val="37"/>
        <filter val="44"/>
        <filter val="45"/>
        <filter val="47"/>
        <filter val="48"/>
        <filter val="49"/>
        <filter val="5"/>
        <filter val="50"/>
        <filter val="51"/>
        <filter val="54"/>
        <filter val="55"/>
        <filter val="56"/>
        <filter val="57"/>
        <filter val="58"/>
        <filter val="59"/>
        <filter val="60"/>
        <filter val="61"/>
        <filter val="62"/>
        <filter val="63"/>
        <filter val="64"/>
        <filter val="65"/>
        <filter val="66"/>
        <filter val="67"/>
        <filter val="69"/>
        <filter val="70"/>
        <filter val="71"/>
        <filter val="72"/>
        <filter val="73"/>
        <filter val="74"/>
        <filter val="75"/>
        <filter val="78"/>
        <filter val="79"/>
        <filter val="8"/>
        <filter val="80"/>
        <filter val="81"/>
        <filter val="83"/>
        <filter val="84"/>
        <filter val="86"/>
        <filter val="87"/>
        <filter val="90"/>
      </filters>
    </filterColumn>
    <filterColumn colId="4">
      <customFilters>
        <customFilter operator="notEqual" val=" "/>
      </customFilters>
    </filterColumn>
    <filterColumn colId="7">
      <filters>
        <filter val="0"/>
        <filter val="1205"/>
        <filter val="12137"/>
        <filter val="12416"/>
        <filter val="14008"/>
        <filter val="14432"/>
        <filter val="15568"/>
        <filter val="15972"/>
        <filter val="20282"/>
        <filter val="20606"/>
        <filter val="21425"/>
        <filter val="22245"/>
        <filter val="24258"/>
        <filter val="26837"/>
        <filter val="27924"/>
        <filter val="30754"/>
        <filter val="31766"/>
        <filter val="3335"/>
        <filter val="34182"/>
        <filter val="3422"/>
        <filter val="36021"/>
        <filter val="36137"/>
        <filter val="3693"/>
        <filter val="3737"/>
        <filter val="39276"/>
        <filter val="39523"/>
        <filter val="41168"/>
        <filter val="4127"/>
        <filter val="42163"/>
        <filter val="42644"/>
        <filter val="42845"/>
        <filter val="43625"/>
        <filter val="46893"/>
        <filter val="48596"/>
        <filter val="48888"/>
        <filter val="49931"/>
        <filter val="56516"/>
        <filter val="58361"/>
        <filter val="61229"/>
        <filter val="61561"/>
        <filter val="61828"/>
        <filter val="63095"/>
        <filter val="63832"/>
        <filter val="65502"/>
        <filter val="65799"/>
        <filter val="66287"/>
        <filter val="72654"/>
        <filter val="72787"/>
        <filter val="72879"/>
        <filter val="74024"/>
        <filter val="75615"/>
        <filter val="7620"/>
        <filter val="7768"/>
        <filter val="8668"/>
        <filter val="900"/>
      </filters>
    </filterColumn>
    <filterColumn colId="8">
      <filters>
        <filter val="1"/>
        <filter val="10"/>
        <filter val="11"/>
        <filter val="12"/>
        <filter val="13"/>
        <filter val="15"/>
        <filter val="16"/>
        <filter val="17"/>
        <filter val="18"/>
        <filter val="2"/>
        <filter val="3"/>
        <filter val="5"/>
        <filter val="6"/>
        <filter val="8"/>
        <filter val="9"/>
      </filters>
    </filterColumn>
    <filterColumn colId="10">
      <filters>
        <dateGroupItem year="2026" dateTimeGrouping="year"/>
        <dateGroupItem year="2025" dateTimeGrouping="year"/>
      </filters>
    </filterColumn>
  </autoFilter>
  <tableColumns count="11">
    <tableColumn id="1" xr3:uid="{B2BDF8FB-FA64-46AC-BD26-CD3D01DB259B}" name="patient_id"/>
    <tableColumn id="2" xr3:uid="{86ED0648-2B14-4EC6-996E-6DBCAD2CC56D}" name="facility"/>
    <tableColumn id="3" xr3:uid="{13FF495B-095A-44DB-8BFE-E3E2566EFB64}" name="visit_date"/>
    <tableColumn id="4" xr3:uid="{64028113-7C8B-458A-BB5C-B4203E032A0C}" name="age"/>
    <tableColumn id="5" xr3:uid="{E19B9F1D-2ABB-4113-AF6B-0A829E600E62}" name="sex"/>
    <tableColumn id="6" xr3:uid="{DCBE2885-D0C3-4B0E-B10F-E9209E9F1AC8}" name="income_kes"/>
    <tableColumn id="7" xr3:uid="{762C3C2E-28BC-424B-B7F6-716556B4919E}" name="insurance"/>
    <tableColumn id="8" xr3:uid="{8DAD5CE3-4FE9-4FA6-A1C5-47716020FA57}" name="cost_kes"/>
    <tableColumn id="9" xr3:uid="{87297C0D-A5A3-4482-BBDC-99BF25506698}" name="los_days"/>
    <tableColumn id="10" xr3:uid="{9423F20F-B526-4B0B-BE6C-36C4CEF32C90}" name="diagnosis"/>
    <tableColumn id="11" xr3:uid="{3AC2B0A2-5731-4D48-94ED-71380D198825}" name="followup_d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3"/>
  <sheetViews>
    <sheetView topLeftCell="A2" workbookViewId="0">
      <selection activeCell="G16" sqref="A2:K171"/>
    </sheetView>
  </sheetViews>
  <sheetFormatPr defaultRowHeight="15" x14ac:dyDescent="0.25"/>
  <cols>
    <col min="1" max="1" width="12.28515625" customWidth="1"/>
    <col min="3" max="3" width="11.85546875" style="6" customWidth="1"/>
    <col min="6" max="6" width="13.7109375" style="4" customWidth="1"/>
    <col min="7" max="7" width="11.7109375" customWidth="1"/>
    <col min="8" max="9" width="10.7109375" customWidth="1"/>
    <col min="10" max="10" width="11.42578125" customWidth="1"/>
    <col min="11" max="11" width="16.140625" customWidth="1"/>
  </cols>
  <sheetData>
    <row r="1" spans="1:11" s="1" customFormat="1" x14ac:dyDescent="0.25">
      <c r="A1" s="1" t="s">
        <v>0</v>
      </c>
      <c r="B1" s="1" t="s">
        <v>1</v>
      </c>
      <c r="C1" s="5" t="s">
        <v>2</v>
      </c>
      <c r="D1" s="1" t="s">
        <v>3</v>
      </c>
      <c r="E1" s="1" t="s">
        <v>4</v>
      </c>
      <c r="F1" s="3" t="s">
        <v>5</v>
      </c>
      <c r="G1" s="1" t="s">
        <v>6</v>
      </c>
      <c r="H1" s="1" t="s">
        <v>7</v>
      </c>
      <c r="I1" s="1" t="s">
        <v>8</v>
      </c>
      <c r="J1" s="1" t="s">
        <v>9</v>
      </c>
      <c r="K1" s="1" t="s">
        <v>10</v>
      </c>
    </row>
    <row r="2" spans="1:11" x14ac:dyDescent="0.25">
      <c r="A2" t="s">
        <v>11</v>
      </c>
      <c r="B2" t="s">
        <v>12</v>
      </c>
      <c r="C2" s="6">
        <v>45661</v>
      </c>
      <c r="D2">
        <v>0</v>
      </c>
      <c r="E2" t="s">
        <v>21</v>
      </c>
      <c r="F2" s="4">
        <v>0</v>
      </c>
      <c r="G2" t="s">
        <v>14</v>
      </c>
      <c r="H2">
        <v>0</v>
      </c>
      <c r="I2">
        <v>1</v>
      </c>
      <c r="J2" t="s">
        <v>15</v>
      </c>
      <c r="K2" s="6">
        <v>45688</v>
      </c>
    </row>
    <row r="3" spans="1:11" x14ac:dyDescent="0.25">
      <c r="A3" t="s">
        <v>16</v>
      </c>
      <c r="B3" t="s">
        <v>17</v>
      </c>
      <c r="C3" s="6">
        <v>45905</v>
      </c>
      <c r="D3">
        <v>0</v>
      </c>
      <c r="E3" t="s">
        <v>21</v>
      </c>
      <c r="F3" s="4">
        <v>0</v>
      </c>
      <c r="G3" t="s">
        <v>14</v>
      </c>
      <c r="H3">
        <v>0</v>
      </c>
      <c r="I3">
        <v>11</v>
      </c>
      <c r="J3" t="s">
        <v>18</v>
      </c>
      <c r="K3" s="6">
        <v>45926</v>
      </c>
    </row>
    <row r="4" spans="1:11" x14ac:dyDescent="0.25">
      <c r="A4" t="s">
        <v>19</v>
      </c>
      <c r="B4" t="s">
        <v>20</v>
      </c>
      <c r="C4" s="6">
        <v>45832</v>
      </c>
      <c r="D4">
        <v>0</v>
      </c>
      <c r="E4" t="s">
        <v>21</v>
      </c>
      <c r="F4" s="4">
        <v>0</v>
      </c>
      <c r="G4" t="s">
        <v>22</v>
      </c>
      <c r="H4">
        <v>0</v>
      </c>
      <c r="I4">
        <v>16</v>
      </c>
      <c r="J4" t="s">
        <v>15</v>
      </c>
      <c r="K4" s="6">
        <v>45925</v>
      </c>
    </row>
    <row r="5" spans="1:11" x14ac:dyDescent="0.25">
      <c r="A5" t="s">
        <v>23</v>
      </c>
      <c r="B5" t="s">
        <v>20</v>
      </c>
      <c r="C5" s="6">
        <v>45735</v>
      </c>
      <c r="D5">
        <v>0</v>
      </c>
      <c r="E5" t="s">
        <v>40</v>
      </c>
      <c r="F5" s="4">
        <v>0</v>
      </c>
      <c r="G5" t="s">
        <v>25</v>
      </c>
      <c r="H5">
        <v>0</v>
      </c>
      <c r="I5">
        <v>15</v>
      </c>
      <c r="J5" t="s">
        <v>26</v>
      </c>
      <c r="K5" s="6">
        <v>45791</v>
      </c>
    </row>
    <row r="6" spans="1:11" x14ac:dyDescent="0.25">
      <c r="A6" t="s">
        <v>27</v>
      </c>
      <c r="B6" t="s">
        <v>28</v>
      </c>
      <c r="C6" s="6">
        <v>45738</v>
      </c>
      <c r="D6">
        <v>0</v>
      </c>
      <c r="E6" t="s">
        <v>21</v>
      </c>
      <c r="F6" s="4">
        <v>0</v>
      </c>
      <c r="G6" t="s">
        <v>25</v>
      </c>
      <c r="H6">
        <v>0</v>
      </c>
      <c r="I6">
        <v>2</v>
      </c>
      <c r="J6" t="s">
        <v>29</v>
      </c>
      <c r="K6" s="6">
        <v>45756</v>
      </c>
    </row>
    <row r="7" spans="1:11" x14ac:dyDescent="0.25">
      <c r="A7" t="s">
        <v>30</v>
      </c>
      <c r="B7" t="s">
        <v>17</v>
      </c>
      <c r="C7" s="6" t="s">
        <v>31</v>
      </c>
      <c r="D7">
        <v>0</v>
      </c>
      <c r="E7" t="s">
        <v>21</v>
      </c>
      <c r="F7" s="4">
        <v>0</v>
      </c>
      <c r="G7" t="s">
        <v>22</v>
      </c>
      <c r="H7">
        <v>0</v>
      </c>
      <c r="I7">
        <v>2</v>
      </c>
      <c r="J7" t="s">
        <v>29</v>
      </c>
      <c r="K7" s="6">
        <v>46097</v>
      </c>
    </row>
    <row r="8" spans="1:11" x14ac:dyDescent="0.25">
      <c r="A8" t="s">
        <v>32</v>
      </c>
      <c r="B8" t="s">
        <v>17</v>
      </c>
      <c r="C8" s="6" t="s">
        <v>33</v>
      </c>
      <c r="D8">
        <v>0</v>
      </c>
      <c r="E8" t="s">
        <v>21</v>
      </c>
      <c r="F8" s="4">
        <v>0</v>
      </c>
      <c r="G8" t="s">
        <v>34</v>
      </c>
      <c r="H8">
        <v>0</v>
      </c>
      <c r="I8">
        <v>2</v>
      </c>
      <c r="J8" t="s">
        <v>35</v>
      </c>
      <c r="K8" s="6">
        <v>45833</v>
      </c>
    </row>
    <row r="9" spans="1:11" hidden="1" x14ac:dyDescent="0.25">
      <c r="A9" t="s">
        <v>36</v>
      </c>
      <c r="B9" t="s">
        <v>20</v>
      </c>
      <c r="C9" s="7">
        <v>46014</v>
      </c>
      <c r="D9">
        <v>0</v>
      </c>
      <c r="E9" t="s">
        <v>21</v>
      </c>
      <c r="F9" s="4">
        <v>0</v>
      </c>
      <c r="G9" t="s">
        <v>22</v>
      </c>
      <c r="H9">
        <v>0</v>
      </c>
      <c r="I9">
        <v>13</v>
      </c>
      <c r="J9" t="s">
        <v>18</v>
      </c>
      <c r="K9" t="s">
        <v>37</v>
      </c>
    </row>
    <row r="10" spans="1:11" x14ac:dyDescent="0.25">
      <c r="A10" t="s">
        <v>38</v>
      </c>
      <c r="B10" t="s">
        <v>20</v>
      </c>
      <c r="C10" s="6">
        <v>45960</v>
      </c>
      <c r="D10">
        <v>0</v>
      </c>
      <c r="E10" t="s">
        <v>40</v>
      </c>
      <c r="F10" s="4">
        <v>0</v>
      </c>
      <c r="G10" t="s">
        <v>14</v>
      </c>
      <c r="H10">
        <v>0</v>
      </c>
      <c r="I10">
        <v>6</v>
      </c>
      <c r="J10" t="s">
        <v>18</v>
      </c>
      <c r="K10" s="6">
        <v>45973</v>
      </c>
    </row>
    <row r="11" spans="1:11" x14ac:dyDescent="0.25">
      <c r="A11" t="s">
        <v>39</v>
      </c>
      <c r="B11" t="s">
        <v>12</v>
      </c>
      <c r="C11" s="6">
        <v>45897</v>
      </c>
      <c r="D11">
        <v>0</v>
      </c>
      <c r="E11" t="s">
        <v>40</v>
      </c>
      <c r="F11" s="2">
        <v>45000</v>
      </c>
      <c r="G11" t="s">
        <v>25</v>
      </c>
      <c r="H11">
        <v>0</v>
      </c>
      <c r="I11">
        <v>1</v>
      </c>
      <c r="J11" t="s">
        <v>26</v>
      </c>
      <c r="K11" s="6">
        <v>45946</v>
      </c>
    </row>
    <row r="12" spans="1:11" hidden="1" x14ac:dyDescent="0.25">
      <c r="A12" t="s">
        <v>41</v>
      </c>
      <c r="B12" t="s">
        <v>17</v>
      </c>
      <c r="C12" s="6">
        <v>45694</v>
      </c>
      <c r="D12">
        <v>0</v>
      </c>
      <c r="E12" t="s">
        <v>21</v>
      </c>
      <c r="F12"/>
      <c r="G12" t="s">
        <v>22</v>
      </c>
      <c r="H12">
        <v>9999999</v>
      </c>
      <c r="I12">
        <v>10</v>
      </c>
      <c r="J12" t="s">
        <v>15</v>
      </c>
      <c r="K12" s="6">
        <v>45804</v>
      </c>
    </row>
    <row r="13" spans="1:11" hidden="1" x14ac:dyDescent="0.25">
      <c r="A13" t="s">
        <v>42</v>
      </c>
      <c r="B13" t="s">
        <v>28</v>
      </c>
      <c r="C13" s="6">
        <v>45686</v>
      </c>
      <c r="D13">
        <v>0</v>
      </c>
      <c r="E13" t="s">
        <v>40</v>
      </c>
      <c r="F13"/>
      <c r="G13" t="s">
        <v>34</v>
      </c>
      <c r="H13">
        <v>0</v>
      </c>
      <c r="I13">
        <v>-5</v>
      </c>
      <c r="J13" t="s">
        <v>26</v>
      </c>
      <c r="K13" s="6">
        <v>45757</v>
      </c>
    </row>
    <row r="14" spans="1:11" hidden="1" x14ac:dyDescent="0.25">
      <c r="A14" t="s">
        <v>43</v>
      </c>
      <c r="B14" t="s">
        <v>20</v>
      </c>
      <c r="C14" s="6">
        <v>45942</v>
      </c>
      <c r="D14">
        <v>150</v>
      </c>
      <c r="E14" t="s">
        <v>21</v>
      </c>
      <c r="F14"/>
      <c r="G14" t="s">
        <v>25</v>
      </c>
      <c r="I14">
        <v>7</v>
      </c>
      <c r="J14" t="s">
        <v>15</v>
      </c>
      <c r="K14" s="6">
        <v>45989</v>
      </c>
    </row>
    <row r="15" spans="1:11" x14ac:dyDescent="0.25">
      <c r="A15" t="s">
        <v>44</v>
      </c>
      <c r="B15" t="s">
        <v>17</v>
      </c>
      <c r="C15" s="6">
        <v>45842</v>
      </c>
      <c r="D15">
        <v>0</v>
      </c>
      <c r="E15" t="s">
        <v>45</v>
      </c>
      <c r="F15" s="4">
        <v>0</v>
      </c>
      <c r="G15" t="s">
        <v>25</v>
      </c>
      <c r="H15">
        <v>0</v>
      </c>
      <c r="I15">
        <v>10</v>
      </c>
      <c r="J15" t="s">
        <v>26</v>
      </c>
      <c r="K15" s="6">
        <v>45894</v>
      </c>
    </row>
    <row r="16" spans="1:11" x14ac:dyDescent="0.25">
      <c r="A16" t="s">
        <v>46</v>
      </c>
      <c r="B16" t="s">
        <v>17</v>
      </c>
      <c r="C16" s="6">
        <v>45745</v>
      </c>
      <c r="D16">
        <v>0</v>
      </c>
      <c r="E16" t="s">
        <v>47</v>
      </c>
      <c r="F16" s="4">
        <v>0</v>
      </c>
      <c r="G16" t="s">
        <v>14</v>
      </c>
      <c r="H16">
        <v>0</v>
      </c>
      <c r="I16">
        <v>18</v>
      </c>
      <c r="J16" t="s">
        <v>35</v>
      </c>
      <c r="K16" s="6">
        <v>45755</v>
      </c>
    </row>
    <row r="17" spans="1:11" x14ac:dyDescent="0.25">
      <c r="A17" t="s">
        <v>48</v>
      </c>
      <c r="B17" t="s">
        <v>20</v>
      </c>
      <c r="C17" s="6">
        <v>45759</v>
      </c>
      <c r="D17">
        <v>0</v>
      </c>
      <c r="E17" t="s">
        <v>21</v>
      </c>
      <c r="F17" s="4">
        <v>0</v>
      </c>
      <c r="G17" t="s">
        <v>14</v>
      </c>
      <c r="H17">
        <v>0</v>
      </c>
      <c r="I17">
        <v>17</v>
      </c>
      <c r="J17" t="s">
        <v>26</v>
      </c>
      <c r="K17" s="6">
        <v>45816</v>
      </c>
    </row>
    <row r="18" spans="1:11" x14ac:dyDescent="0.25">
      <c r="A18" t="s">
        <v>49</v>
      </c>
      <c r="B18" t="s">
        <v>20</v>
      </c>
      <c r="C18" s="6">
        <v>45736</v>
      </c>
      <c r="D18">
        <v>0</v>
      </c>
      <c r="E18" t="s">
        <v>40</v>
      </c>
      <c r="F18" s="4">
        <v>0</v>
      </c>
      <c r="G18" t="s">
        <v>22</v>
      </c>
      <c r="H18">
        <v>0</v>
      </c>
      <c r="I18">
        <v>17</v>
      </c>
      <c r="J18" t="s">
        <v>29</v>
      </c>
      <c r="K18" s="6">
        <v>45832</v>
      </c>
    </row>
    <row r="19" spans="1:11" x14ac:dyDescent="0.25">
      <c r="A19" t="s">
        <v>50</v>
      </c>
      <c r="B19" t="s">
        <v>20</v>
      </c>
      <c r="C19" s="6">
        <v>45881</v>
      </c>
      <c r="D19">
        <v>0</v>
      </c>
      <c r="E19" t="s">
        <v>40</v>
      </c>
      <c r="F19" s="4">
        <v>0</v>
      </c>
      <c r="G19" t="s">
        <v>34</v>
      </c>
      <c r="H19">
        <v>0</v>
      </c>
      <c r="I19">
        <v>2</v>
      </c>
      <c r="J19" t="s">
        <v>29</v>
      </c>
      <c r="K19" s="6">
        <v>45973</v>
      </c>
    </row>
    <row r="20" spans="1:11" x14ac:dyDescent="0.25">
      <c r="A20" t="s">
        <v>51</v>
      </c>
      <c r="B20" t="s">
        <v>20</v>
      </c>
      <c r="C20" s="6">
        <v>45878</v>
      </c>
      <c r="D20">
        <v>0</v>
      </c>
      <c r="E20" t="s">
        <v>40</v>
      </c>
      <c r="F20" s="4">
        <v>0</v>
      </c>
      <c r="G20" t="s">
        <v>22</v>
      </c>
      <c r="H20">
        <v>0</v>
      </c>
      <c r="I20">
        <v>9</v>
      </c>
      <c r="J20" t="s">
        <v>15</v>
      </c>
      <c r="K20" s="6">
        <v>45995</v>
      </c>
    </row>
    <row r="21" spans="1:11" x14ac:dyDescent="0.25">
      <c r="A21" t="s">
        <v>52</v>
      </c>
      <c r="B21" t="s">
        <v>28</v>
      </c>
      <c r="C21" s="6">
        <v>45886</v>
      </c>
      <c r="D21">
        <v>0</v>
      </c>
      <c r="E21" t="s">
        <v>21</v>
      </c>
      <c r="F21" s="4">
        <v>0</v>
      </c>
      <c r="G21" t="s">
        <v>14</v>
      </c>
      <c r="H21">
        <v>0</v>
      </c>
      <c r="I21">
        <v>13</v>
      </c>
      <c r="J21" t="s">
        <v>15</v>
      </c>
      <c r="K21" s="6">
        <v>45979</v>
      </c>
    </row>
    <row r="22" spans="1:11" x14ac:dyDescent="0.25">
      <c r="A22" t="s">
        <v>53</v>
      </c>
      <c r="B22" t="s">
        <v>20</v>
      </c>
      <c r="C22" s="6">
        <v>45807</v>
      </c>
      <c r="D22">
        <v>0</v>
      </c>
      <c r="E22" t="s">
        <v>21</v>
      </c>
      <c r="F22" s="4">
        <v>0</v>
      </c>
      <c r="G22" t="s">
        <v>25</v>
      </c>
      <c r="H22">
        <v>0</v>
      </c>
      <c r="I22">
        <v>8</v>
      </c>
      <c r="J22" t="s">
        <v>15</v>
      </c>
      <c r="K22" s="6">
        <v>45865</v>
      </c>
    </row>
    <row r="23" spans="1:11" x14ac:dyDescent="0.25">
      <c r="A23" t="s">
        <v>54</v>
      </c>
      <c r="B23" t="s">
        <v>17</v>
      </c>
      <c r="C23" s="6">
        <v>45888</v>
      </c>
      <c r="D23">
        <v>0</v>
      </c>
      <c r="E23" t="s">
        <v>40</v>
      </c>
      <c r="F23" s="4">
        <v>0</v>
      </c>
      <c r="G23" t="s">
        <v>14</v>
      </c>
      <c r="H23">
        <v>0</v>
      </c>
      <c r="I23">
        <v>11</v>
      </c>
      <c r="J23" t="s">
        <v>18</v>
      </c>
      <c r="K23" s="6">
        <v>45906</v>
      </c>
    </row>
    <row r="24" spans="1:11" x14ac:dyDescent="0.25">
      <c r="A24" t="s">
        <v>55</v>
      </c>
      <c r="B24" t="s">
        <v>17</v>
      </c>
      <c r="C24" s="6">
        <v>45902</v>
      </c>
      <c r="D24">
        <v>0</v>
      </c>
      <c r="E24" t="s">
        <v>21</v>
      </c>
      <c r="F24" s="4">
        <v>0</v>
      </c>
      <c r="G24" t="s">
        <v>25</v>
      </c>
      <c r="H24">
        <v>0</v>
      </c>
      <c r="I24">
        <v>6</v>
      </c>
      <c r="J24" t="s">
        <v>15</v>
      </c>
      <c r="K24" s="6">
        <v>46005</v>
      </c>
    </row>
    <row r="25" spans="1:11" x14ac:dyDescent="0.25">
      <c r="A25" t="s">
        <v>56</v>
      </c>
      <c r="B25" t="s">
        <v>17</v>
      </c>
      <c r="C25" s="6">
        <v>45787</v>
      </c>
      <c r="D25">
        <v>0</v>
      </c>
      <c r="E25" t="s">
        <v>21</v>
      </c>
      <c r="F25" s="4">
        <v>0</v>
      </c>
      <c r="G25" t="s">
        <v>34</v>
      </c>
      <c r="H25">
        <v>0</v>
      </c>
      <c r="I25">
        <v>13</v>
      </c>
      <c r="J25" t="s">
        <v>35</v>
      </c>
      <c r="K25" s="6">
        <v>45795</v>
      </c>
    </row>
    <row r="26" spans="1:11" x14ac:dyDescent="0.25">
      <c r="A26" t="s">
        <v>57</v>
      </c>
      <c r="B26" t="s">
        <v>17</v>
      </c>
      <c r="C26" s="6">
        <v>45717</v>
      </c>
      <c r="D26">
        <v>0</v>
      </c>
      <c r="E26" t="s">
        <v>21</v>
      </c>
      <c r="F26" s="4">
        <v>0</v>
      </c>
      <c r="G26" t="s">
        <v>25</v>
      </c>
      <c r="H26">
        <v>0</v>
      </c>
      <c r="I26">
        <v>12</v>
      </c>
      <c r="J26" t="s">
        <v>29</v>
      </c>
      <c r="K26" s="6">
        <v>45789</v>
      </c>
    </row>
    <row r="27" spans="1:11" x14ac:dyDescent="0.25">
      <c r="A27" t="s">
        <v>58</v>
      </c>
      <c r="B27" t="s">
        <v>20</v>
      </c>
      <c r="C27" s="6">
        <v>45734</v>
      </c>
      <c r="D27">
        <v>0</v>
      </c>
      <c r="E27" t="s">
        <v>21</v>
      </c>
      <c r="F27" s="4">
        <v>0</v>
      </c>
      <c r="G27" t="s">
        <v>14</v>
      </c>
      <c r="H27">
        <v>0</v>
      </c>
      <c r="I27">
        <v>6</v>
      </c>
      <c r="J27" t="s">
        <v>15</v>
      </c>
      <c r="K27" s="6">
        <v>45752</v>
      </c>
    </row>
    <row r="28" spans="1:11" x14ac:dyDescent="0.25">
      <c r="A28" t="s">
        <v>59</v>
      </c>
      <c r="B28" t="s">
        <v>28</v>
      </c>
      <c r="C28" s="6">
        <v>45750</v>
      </c>
      <c r="D28">
        <v>0</v>
      </c>
      <c r="E28" t="s">
        <v>40</v>
      </c>
      <c r="F28" s="4">
        <v>0</v>
      </c>
      <c r="G28" t="s">
        <v>25</v>
      </c>
      <c r="H28">
        <v>0</v>
      </c>
      <c r="I28">
        <v>5</v>
      </c>
      <c r="J28" t="s">
        <v>26</v>
      </c>
      <c r="K28" s="6">
        <v>45865</v>
      </c>
    </row>
    <row r="29" spans="1:11" x14ac:dyDescent="0.25">
      <c r="A29" t="s">
        <v>60</v>
      </c>
      <c r="B29" t="s">
        <v>20</v>
      </c>
      <c r="C29" s="6">
        <v>45699</v>
      </c>
      <c r="D29">
        <v>0</v>
      </c>
      <c r="E29" t="s">
        <v>21</v>
      </c>
      <c r="F29" s="4">
        <v>0</v>
      </c>
      <c r="G29" t="s">
        <v>25</v>
      </c>
      <c r="H29">
        <v>0</v>
      </c>
      <c r="I29">
        <v>3</v>
      </c>
      <c r="J29" t="s">
        <v>18</v>
      </c>
      <c r="K29" s="6">
        <v>45764</v>
      </c>
    </row>
    <row r="30" spans="1:11" x14ac:dyDescent="0.25">
      <c r="A30" t="s">
        <v>61</v>
      </c>
      <c r="B30" t="s">
        <v>20</v>
      </c>
      <c r="C30" s="6">
        <v>45816</v>
      </c>
      <c r="D30">
        <v>0</v>
      </c>
      <c r="E30" t="s">
        <v>40</v>
      </c>
      <c r="F30" s="4">
        <v>0</v>
      </c>
      <c r="G30" t="s">
        <v>14</v>
      </c>
      <c r="H30">
        <v>0</v>
      </c>
      <c r="I30">
        <v>13</v>
      </c>
      <c r="J30" t="s">
        <v>29</v>
      </c>
      <c r="K30" s="6">
        <v>45904</v>
      </c>
    </row>
    <row r="31" spans="1:11" x14ac:dyDescent="0.25">
      <c r="A31" t="s">
        <v>62</v>
      </c>
      <c r="B31" t="s">
        <v>20</v>
      </c>
      <c r="C31" s="6">
        <v>45968</v>
      </c>
      <c r="D31">
        <v>0</v>
      </c>
      <c r="E31" t="s">
        <v>21</v>
      </c>
      <c r="F31" s="4">
        <v>0</v>
      </c>
      <c r="G31" t="s">
        <v>14</v>
      </c>
      <c r="H31">
        <v>0</v>
      </c>
      <c r="I31">
        <v>13</v>
      </c>
      <c r="J31" t="s">
        <v>29</v>
      </c>
      <c r="K31" s="6">
        <v>45980</v>
      </c>
    </row>
    <row r="32" spans="1:11" x14ac:dyDescent="0.25">
      <c r="A32" t="s">
        <v>63</v>
      </c>
      <c r="B32" t="s">
        <v>17</v>
      </c>
      <c r="C32" s="6">
        <v>45763</v>
      </c>
      <c r="D32">
        <v>0</v>
      </c>
      <c r="E32" t="s">
        <v>21</v>
      </c>
      <c r="F32" s="4">
        <v>0</v>
      </c>
      <c r="G32" t="s">
        <v>34</v>
      </c>
      <c r="H32">
        <v>72879</v>
      </c>
      <c r="I32">
        <v>12</v>
      </c>
      <c r="J32" t="s">
        <v>15</v>
      </c>
      <c r="K32" s="6">
        <v>45808</v>
      </c>
    </row>
    <row r="33" spans="1:11" x14ac:dyDescent="0.25">
      <c r="A33" t="s">
        <v>64</v>
      </c>
      <c r="B33" t="s">
        <v>20</v>
      </c>
      <c r="C33" s="6">
        <v>45945</v>
      </c>
      <c r="D33">
        <v>0</v>
      </c>
      <c r="E33" t="s">
        <v>40</v>
      </c>
      <c r="F33" s="4">
        <v>0</v>
      </c>
      <c r="G33" t="s">
        <v>34</v>
      </c>
      <c r="H33">
        <v>24258</v>
      </c>
      <c r="I33">
        <v>17</v>
      </c>
      <c r="J33" t="s">
        <v>26</v>
      </c>
      <c r="K33" s="6">
        <v>46005</v>
      </c>
    </row>
    <row r="34" spans="1:11" hidden="1" x14ac:dyDescent="0.25">
      <c r="A34" t="s">
        <v>65</v>
      </c>
      <c r="B34" t="s">
        <v>12</v>
      </c>
      <c r="C34" s="6">
        <v>45758</v>
      </c>
      <c r="D34">
        <v>0</v>
      </c>
      <c r="E34" t="s">
        <v>21</v>
      </c>
      <c r="F34"/>
      <c r="G34" t="s">
        <v>34</v>
      </c>
      <c r="H34">
        <v>48044</v>
      </c>
      <c r="I34">
        <v>4</v>
      </c>
      <c r="J34" t="s">
        <v>18</v>
      </c>
      <c r="K34" s="6">
        <v>45849</v>
      </c>
    </row>
    <row r="35" spans="1:11" x14ac:dyDescent="0.25">
      <c r="A35" t="s">
        <v>66</v>
      </c>
      <c r="B35" t="s">
        <v>28</v>
      </c>
      <c r="C35" s="6">
        <v>45906</v>
      </c>
      <c r="D35">
        <v>0</v>
      </c>
      <c r="E35" t="s">
        <v>21</v>
      </c>
      <c r="F35" s="4">
        <v>0</v>
      </c>
      <c r="G35" t="s">
        <v>14</v>
      </c>
      <c r="H35">
        <v>48596</v>
      </c>
      <c r="I35">
        <v>15</v>
      </c>
      <c r="J35" t="s">
        <v>18</v>
      </c>
      <c r="K35" s="6">
        <v>45943</v>
      </c>
    </row>
    <row r="36" spans="1:11" x14ac:dyDescent="0.25">
      <c r="A36" t="s">
        <v>67</v>
      </c>
      <c r="B36" t="s">
        <v>28</v>
      </c>
      <c r="C36" s="6">
        <v>45998</v>
      </c>
      <c r="D36">
        <v>0</v>
      </c>
      <c r="E36" t="s">
        <v>40</v>
      </c>
      <c r="F36" s="4">
        <v>0</v>
      </c>
      <c r="G36" t="s">
        <v>22</v>
      </c>
      <c r="H36">
        <v>14008</v>
      </c>
      <c r="I36">
        <v>5</v>
      </c>
      <c r="J36" t="s">
        <v>26</v>
      </c>
      <c r="K36" s="6">
        <v>46028</v>
      </c>
    </row>
    <row r="37" spans="1:11" x14ac:dyDescent="0.25">
      <c r="A37" t="s">
        <v>68</v>
      </c>
      <c r="B37" t="s">
        <v>28</v>
      </c>
      <c r="C37" s="6">
        <v>45755</v>
      </c>
      <c r="D37">
        <v>0</v>
      </c>
      <c r="E37" t="s">
        <v>21</v>
      </c>
      <c r="F37" s="4">
        <v>0</v>
      </c>
      <c r="G37" t="s">
        <v>14</v>
      </c>
      <c r="H37">
        <v>8668</v>
      </c>
      <c r="I37">
        <v>12</v>
      </c>
      <c r="J37" t="s">
        <v>15</v>
      </c>
      <c r="K37" s="6">
        <v>45807</v>
      </c>
    </row>
    <row r="38" spans="1:11" x14ac:dyDescent="0.25">
      <c r="A38" t="s">
        <v>69</v>
      </c>
      <c r="B38" t="s">
        <v>17</v>
      </c>
      <c r="C38" s="6">
        <v>45709</v>
      </c>
      <c r="D38">
        <v>0</v>
      </c>
      <c r="E38" t="s">
        <v>21</v>
      </c>
      <c r="F38" s="4">
        <v>0</v>
      </c>
      <c r="G38" t="s">
        <v>25</v>
      </c>
      <c r="H38">
        <v>12416</v>
      </c>
      <c r="I38">
        <v>9</v>
      </c>
      <c r="J38" t="s">
        <v>26</v>
      </c>
      <c r="K38" s="6">
        <v>45821</v>
      </c>
    </row>
    <row r="39" spans="1:11" x14ac:dyDescent="0.25">
      <c r="A39" t="s">
        <v>70</v>
      </c>
      <c r="B39" t="s">
        <v>12</v>
      </c>
      <c r="C39" s="6">
        <v>45782</v>
      </c>
      <c r="D39">
        <v>0</v>
      </c>
      <c r="E39" t="s">
        <v>21</v>
      </c>
      <c r="F39" s="4">
        <v>0</v>
      </c>
      <c r="G39" t="s">
        <v>22</v>
      </c>
      <c r="H39">
        <v>42644</v>
      </c>
      <c r="I39">
        <v>15</v>
      </c>
      <c r="J39" t="s">
        <v>18</v>
      </c>
      <c r="K39" s="6">
        <v>45795</v>
      </c>
    </row>
    <row r="40" spans="1:11" x14ac:dyDescent="0.25">
      <c r="A40" t="s">
        <v>71</v>
      </c>
      <c r="B40" t="s">
        <v>12</v>
      </c>
      <c r="C40" s="6">
        <v>45708</v>
      </c>
      <c r="D40">
        <v>0</v>
      </c>
      <c r="E40" t="s">
        <v>40</v>
      </c>
      <c r="F40" s="4">
        <v>0</v>
      </c>
      <c r="G40" t="s">
        <v>34</v>
      </c>
      <c r="H40">
        <v>63832</v>
      </c>
      <c r="I40">
        <v>11</v>
      </c>
      <c r="J40" t="s">
        <v>29</v>
      </c>
      <c r="K40" s="6">
        <v>45816</v>
      </c>
    </row>
    <row r="41" spans="1:11" x14ac:dyDescent="0.25">
      <c r="A41" t="s">
        <v>72</v>
      </c>
      <c r="B41" t="s">
        <v>12</v>
      </c>
      <c r="C41" s="6">
        <v>46008</v>
      </c>
      <c r="D41">
        <v>0</v>
      </c>
      <c r="E41" t="s">
        <v>21</v>
      </c>
      <c r="F41" s="4">
        <v>0</v>
      </c>
      <c r="G41" t="s">
        <v>25</v>
      </c>
      <c r="H41">
        <v>3693</v>
      </c>
      <c r="I41">
        <v>1</v>
      </c>
      <c r="J41" t="s">
        <v>35</v>
      </c>
      <c r="K41" s="6">
        <v>46017</v>
      </c>
    </row>
    <row r="42" spans="1:11" hidden="1" x14ac:dyDescent="0.25">
      <c r="A42" t="s">
        <v>73</v>
      </c>
      <c r="B42" t="s">
        <v>17</v>
      </c>
      <c r="C42" s="6">
        <v>45784</v>
      </c>
      <c r="D42">
        <v>0</v>
      </c>
      <c r="E42" t="s">
        <v>21</v>
      </c>
      <c r="F42"/>
      <c r="G42" t="s">
        <v>25</v>
      </c>
      <c r="H42">
        <v>8140</v>
      </c>
      <c r="I42">
        <v>4</v>
      </c>
      <c r="J42" t="s">
        <v>15</v>
      </c>
      <c r="K42" s="6">
        <v>45859</v>
      </c>
    </row>
    <row r="43" spans="1:11" x14ac:dyDescent="0.25">
      <c r="A43" t="s">
        <v>74</v>
      </c>
      <c r="B43" t="s">
        <v>17</v>
      </c>
      <c r="C43" s="6">
        <v>45695</v>
      </c>
      <c r="D43">
        <v>0</v>
      </c>
      <c r="E43" t="s">
        <v>40</v>
      </c>
      <c r="F43" s="4">
        <v>0</v>
      </c>
      <c r="G43" t="s">
        <v>14</v>
      </c>
      <c r="H43">
        <v>66287</v>
      </c>
      <c r="I43">
        <v>18</v>
      </c>
      <c r="J43" t="s">
        <v>15</v>
      </c>
      <c r="K43" s="6">
        <v>45743</v>
      </c>
    </row>
    <row r="44" spans="1:11" x14ac:dyDescent="0.25">
      <c r="A44" t="s">
        <v>75</v>
      </c>
      <c r="B44" t="s">
        <v>20</v>
      </c>
      <c r="C44" s="6">
        <v>45790</v>
      </c>
      <c r="D44">
        <v>0</v>
      </c>
      <c r="E44" t="s">
        <v>21</v>
      </c>
      <c r="F44" s="4">
        <v>0</v>
      </c>
      <c r="G44" t="s">
        <v>14</v>
      </c>
      <c r="H44">
        <v>58361</v>
      </c>
      <c r="I44">
        <v>13</v>
      </c>
      <c r="J44" t="s">
        <v>18</v>
      </c>
      <c r="K44" s="6">
        <v>45798</v>
      </c>
    </row>
    <row r="45" spans="1:11" x14ac:dyDescent="0.25">
      <c r="A45" t="s">
        <v>76</v>
      </c>
      <c r="B45" t="s">
        <v>28</v>
      </c>
      <c r="C45" s="6">
        <v>45799</v>
      </c>
      <c r="D45">
        <v>0</v>
      </c>
      <c r="E45" t="s">
        <v>21</v>
      </c>
      <c r="F45" s="4">
        <v>0</v>
      </c>
      <c r="G45" t="s">
        <v>22</v>
      </c>
      <c r="H45">
        <v>20606</v>
      </c>
      <c r="I45">
        <v>18</v>
      </c>
      <c r="J45" t="s">
        <v>35</v>
      </c>
      <c r="K45" s="6">
        <v>45910</v>
      </c>
    </row>
    <row r="46" spans="1:11" x14ac:dyDescent="0.25">
      <c r="A46" t="s">
        <v>77</v>
      </c>
      <c r="B46" t="s">
        <v>20</v>
      </c>
      <c r="C46" s="6">
        <v>45919</v>
      </c>
      <c r="D46">
        <v>0</v>
      </c>
      <c r="E46" t="s">
        <v>21</v>
      </c>
      <c r="F46" s="4">
        <v>0</v>
      </c>
      <c r="G46" t="s">
        <v>34</v>
      </c>
      <c r="H46">
        <v>61561</v>
      </c>
      <c r="I46">
        <v>12</v>
      </c>
      <c r="J46" t="s">
        <v>18</v>
      </c>
      <c r="K46" s="6">
        <v>45956</v>
      </c>
    </row>
    <row r="47" spans="1:11" hidden="1" x14ac:dyDescent="0.25">
      <c r="A47" t="s">
        <v>78</v>
      </c>
      <c r="B47" t="s">
        <v>12</v>
      </c>
      <c r="C47" s="6">
        <v>45916</v>
      </c>
      <c r="D47">
        <v>29</v>
      </c>
      <c r="F47">
        <v>187666</v>
      </c>
      <c r="H47">
        <v>73991</v>
      </c>
      <c r="I47">
        <v>6</v>
      </c>
      <c r="K47" s="6">
        <v>45923</v>
      </c>
    </row>
    <row r="48" spans="1:11" hidden="1" x14ac:dyDescent="0.25">
      <c r="A48" t="s">
        <v>79</v>
      </c>
      <c r="B48" t="s">
        <v>20</v>
      </c>
      <c r="C48" s="6">
        <v>45725</v>
      </c>
      <c r="D48">
        <v>87</v>
      </c>
      <c r="F48">
        <v>130512</v>
      </c>
      <c r="H48">
        <v>28610</v>
      </c>
      <c r="I48">
        <v>13</v>
      </c>
      <c r="K48" s="6">
        <v>45764</v>
      </c>
    </row>
    <row r="49" spans="1:11" hidden="1" x14ac:dyDescent="0.25">
      <c r="A49" t="s">
        <v>80</v>
      </c>
      <c r="B49" t="s">
        <v>20</v>
      </c>
      <c r="C49" s="6">
        <v>45806</v>
      </c>
      <c r="D49">
        <v>30</v>
      </c>
      <c r="F49">
        <v>28639</v>
      </c>
      <c r="H49">
        <v>13947</v>
      </c>
      <c r="I49">
        <v>2</v>
      </c>
      <c r="K49" s="6">
        <v>45909</v>
      </c>
    </row>
    <row r="50" spans="1:11" hidden="1" x14ac:dyDescent="0.25">
      <c r="A50" t="s">
        <v>81</v>
      </c>
      <c r="B50" t="s">
        <v>20</v>
      </c>
      <c r="C50" s="6">
        <v>45773</v>
      </c>
      <c r="D50">
        <v>57</v>
      </c>
      <c r="F50">
        <v>39460</v>
      </c>
      <c r="H50">
        <v>71331</v>
      </c>
      <c r="I50">
        <v>0</v>
      </c>
      <c r="K50" s="6">
        <v>45853</v>
      </c>
    </row>
    <row r="51" spans="1:11" hidden="1" x14ac:dyDescent="0.25">
      <c r="A51" t="s">
        <v>82</v>
      </c>
      <c r="B51" t="s">
        <v>28</v>
      </c>
      <c r="C51" s="6">
        <v>45841</v>
      </c>
      <c r="D51">
        <v>13</v>
      </c>
      <c r="F51">
        <v>135426</v>
      </c>
      <c r="H51">
        <v>12361</v>
      </c>
      <c r="I51">
        <v>18</v>
      </c>
      <c r="K51" s="6">
        <v>45937</v>
      </c>
    </row>
    <row r="52" spans="1:11" hidden="1" x14ac:dyDescent="0.25">
      <c r="A52" t="s">
        <v>83</v>
      </c>
      <c r="B52" t="s">
        <v>17</v>
      </c>
      <c r="C52" s="6">
        <v>46013</v>
      </c>
      <c r="D52">
        <v>37</v>
      </c>
      <c r="F52">
        <v>132818</v>
      </c>
      <c r="H52">
        <v>61502</v>
      </c>
      <c r="I52">
        <v>18</v>
      </c>
      <c r="K52" s="6">
        <v>46097</v>
      </c>
    </row>
    <row r="53" spans="1:11" hidden="1" x14ac:dyDescent="0.25">
      <c r="A53" t="s">
        <v>84</v>
      </c>
      <c r="B53" t="s">
        <v>20</v>
      </c>
      <c r="C53" s="6">
        <v>45896</v>
      </c>
      <c r="D53">
        <v>66</v>
      </c>
      <c r="F53">
        <v>180111</v>
      </c>
      <c r="H53">
        <v>8557</v>
      </c>
      <c r="I53">
        <v>18</v>
      </c>
      <c r="K53" s="6">
        <v>45945</v>
      </c>
    </row>
    <row r="54" spans="1:11" hidden="1" x14ac:dyDescent="0.25">
      <c r="A54" t="s">
        <v>85</v>
      </c>
      <c r="B54" t="s">
        <v>17</v>
      </c>
      <c r="C54" s="6">
        <v>45662</v>
      </c>
      <c r="D54">
        <v>48</v>
      </c>
      <c r="F54">
        <v>223708</v>
      </c>
      <c r="H54">
        <v>76941</v>
      </c>
      <c r="I54">
        <v>13</v>
      </c>
      <c r="K54" s="6">
        <v>45731</v>
      </c>
    </row>
    <row r="55" spans="1:11" hidden="1" x14ac:dyDescent="0.25">
      <c r="A55" t="s">
        <v>86</v>
      </c>
      <c r="B55" t="s">
        <v>28</v>
      </c>
      <c r="C55" s="6">
        <v>45965</v>
      </c>
      <c r="D55">
        <v>2</v>
      </c>
      <c r="F55">
        <v>208927</v>
      </c>
      <c r="H55">
        <v>64303</v>
      </c>
      <c r="I55">
        <v>9</v>
      </c>
      <c r="K55" s="6">
        <v>45983</v>
      </c>
    </row>
    <row r="56" spans="1:11" hidden="1" x14ac:dyDescent="0.25">
      <c r="A56" t="s">
        <v>87</v>
      </c>
      <c r="B56" t="s">
        <v>20</v>
      </c>
      <c r="C56" s="6">
        <v>45851</v>
      </c>
      <c r="D56">
        <v>70</v>
      </c>
      <c r="F56">
        <v>205957</v>
      </c>
      <c r="H56">
        <v>78548</v>
      </c>
      <c r="I56">
        <v>7</v>
      </c>
      <c r="K56" s="6">
        <v>45871</v>
      </c>
    </row>
    <row r="57" spans="1:11" hidden="1" x14ac:dyDescent="0.25">
      <c r="A57" t="s">
        <v>88</v>
      </c>
      <c r="B57" t="s">
        <v>12</v>
      </c>
      <c r="C57" s="6">
        <v>45674</v>
      </c>
      <c r="D57">
        <v>81</v>
      </c>
      <c r="F57">
        <v>106486</v>
      </c>
      <c r="H57">
        <v>1161</v>
      </c>
      <c r="I57">
        <v>3</v>
      </c>
      <c r="K57" s="6">
        <v>45722</v>
      </c>
    </row>
    <row r="58" spans="1:11" hidden="1" x14ac:dyDescent="0.25">
      <c r="A58" t="s">
        <v>89</v>
      </c>
      <c r="B58" t="s">
        <v>12</v>
      </c>
      <c r="C58" s="6">
        <v>45888</v>
      </c>
      <c r="D58">
        <v>26</v>
      </c>
      <c r="F58">
        <v>60959</v>
      </c>
      <c r="H58">
        <v>6977</v>
      </c>
      <c r="I58">
        <v>7</v>
      </c>
      <c r="K58" s="6">
        <v>45917</v>
      </c>
    </row>
    <row r="59" spans="1:11" hidden="1" x14ac:dyDescent="0.25">
      <c r="A59" t="s">
        <v>90</v>
      </c>
      <c r="B59" t="s">
        <v>28</v>
      </c>
      <c r="C59" s="6">
        <v>45773</v>
      </c>
      <c r="D59">
        <v>50</v>
      </c>
      <c r="F59">
        <v>188509</v>
      </c>
      <c r="H59">
        <v>78721</v>
      </c>
      <c r="I59">
        <v>13</v>
      </c>
      <c r="K59" s="6">
        <v>45829</v>
      </c>
    </row>
    <row r="60" spans="1:11" hidden="1" x14ac:dyDescent="0.25">
      <c r="A60" t="s">
        <v>91</v>
      </c>
      <c r="B60" t="s">
        <v>28</v>
      </c>
      <c r="C60" s="6">
        <v>45890</v>
      </c>
      <c r="D60">
        <v>51</v>
      </c>
      <c r="F60">
        <v>111054</v>
      </c>
      <c r="H60">
        <v>53629</v>
      </c>
      <c r="I60">
        <v>11</v>
      </c>
      <c r="K60" s="6">
        <v>45928</v>
      </c>
    </row>
    <row r="61" spans="1:11" hidden="1" x14ac:dyDescent="0.25">
      <c r="A61" t="s">
        <v>92</v>
      </c>
      <c r="B61" t="s">
        <v>17</v>
      </c>
      <c r="C61" s="6">
        <v>45733</v>
      </c>
      <c r="D61">
        <v>16</v>
      </c>
      <c r="F61">
        <v>12625</v>
      </c>
      <c r="H61">
        <v>54207</v>
      </c>
      <c r="I61">
        <v>3</v>
      </c>
      <c r="K61" s="6">
        <v>45793</v>
      </c>
    </row>
    <row r="62" spans="1:11" hidden="1" x14ac:dyDescent="0.25">
      <c r="A62" t="s">
        <v>93</v>
      </c>
      <c r="B62" t="s">
        <v>17</v>
      </c>
      <c r="C62" s="6">
        <v>45945</v>
      </c>
      <c r="D62">
        <v>55</v>
      </c>
      <c r="F62">
        <v>178442</v>
      </c>
      <c r="H62">
        <v>24424</v>
      </c>
      <c r="I62">
        <v>12</v>
      </c>
      <c r="K62" s="6">
        <v>45975</v>
      </c>
    </row>
    <row r="63" spans="1:11" hidden="1" x14ac:dyDescent="0.25">
      <c r="A63" t="s">
        <v>94</v>
      </c>
      <c r="B63" t="s">
        <v>20</v>
      </c>
      <c r="C63" s="6">
        <v>45809</v>
      </c>
      <c r="D63">
        <v>50</v>
      </c>
      <c r="F63">
        <v>39159</v>
      </c>
      <c r="H63">
        <v>41253</v>
      </c>
      <c r="I63">
        <v>1</v>
      </c>
      <c r="K63" s="6">
        <v>45921</v>
      </c>
    </row>
    <row r="64" spans="1:11" hidden="1" x14ac:dyDescent="0.25">
      <c r="A64" t="s">
        <v>95</v>
      </c>
      <c r="B64" t="s">
        <v>20</v>
      </c>
      <c r="C64" s="6">
        <v>45739</v>
      </c>
      <c r="D64">
        <v>90</v>
      </c>
      <c r="F64">
        <v>247752</v>
      </c>
      <c r="H64">
        <v>3770</v>
      </c>
      <c r="I64">
        <v>17</v>
      </c>
      <c r="K64" s="6">
        <v>45795</v>
      </c>
    </row>
    <row r="65" spans="1:11" hidden="1" x14ac:dyDescent="0.25">
      <c r="A65" t="s">
        <v>96</v>
      </c>
      <c r="B65" t="s">
        <v>28</v>
      </c>
      <c r="C65" s="6">
        <v>46015</v>
      </c>
      <c r="D65">
        <v>83</v>
      </c>
      <c r="F65">
        <v>83992</v>
      </c>
      <c r="H65">
        <v>76447</v>
      </c>
      <c r="I65">
        <v>10</v>
      </c>
      <c r="K65" s="6">
        <v>46046</v>
      </c>
    </row>
    <row r="66" spans="1:11" hidden="1" x14ac:dyDescent="0.25">
      <c r="A66" t="s">
        <v>97</v>
      </c>
      <c r="B66" t="s">
        <v>17</v>
      </c>
      <c r="C66" s="6">
        <v>45966</v>
      </c>
      <c r="D66">
        <v>21</v>
      </c>
      <c r="F66">
        <v>106720</v>
      </c>
      <c r="H66">
        <v>68671</v>
      </c>
      <c r="I66">
        <v>17</v>
      </c>
      <c r="K66" s="6">
        <v>46075</v>
      </c>
    </row>
    <row r="67" spans="1:11" hidden="1" x14ac:dyDescent="0.25">
      <c r="A67" t="s">
        <v>98</v>
      </c>
      <c r="B67" t="s">
        <v>17</v>
      </c>
      <c r="C67" s="6">
        <v>46002</v>
      </c>
      <c r="D67">
        <v>67</v>
      </c>
      <c r="F67">
        <v>82662</v>
      </c>
      <c r="H67">
        <v>42186</v>
      </c>
      <c r="I67">
        <v>14</v>
      </c>
      <c r="K67" s="6">
        <v>46122</v>
      </c>
    </row>
    <row r="68" spans="1:11" hidden="1" x14ac:dyDescent="0.25">
      <c r="A68" t="s">
        <v>99</v>
      </c>
      <c r="B68" t="s">
        <v>28</v>
      </c>
      <c r="C68" s="6">
        <v>45938</v>
      </c>
      <c r="D68">
        <v>23</v>
      </c>
      <c r="F68">
        <v>203777</v>
      </c>
      <c r="H68">
        <v>28288</v>
      </c>
      <c r="I68">
        <v>11</v>
      </c>
      <c r="K68" s="6">
        <v>46054</v>
      </c>
    </row>
    <row r="69" spans="1:11" hidden="1" x14ac:dyDescent="0.25">
      <c r="A69" t="s">
        <v>100</v>
      </c>
      <c r="B69" t="s">
        <v>12</v>
      </c>
      <c r="C69" s="6">
        <v>45887</v>
      </c>
      <c r="D69">
        <v>67</v>
      </c>
      <c r="F69">
        <v>217343</v>
      </c>
      <c r="H69">
        <v>51770</v>
      </c>
      <c r="I69">
        <v>8</v>
      </c>
      <c r="K69" s="6">
        <v>45936</v>
      </c>
    </row>
    <row r="70" spans="1:11" hidden="1" x14ac:dyDescent="0.25">
      <c r="A70" t="s">
        <v>101</v>
      </c>
      <c r="B70" t="s">
        <v>28</v>
      </c>
      <c r="C70" s="6">
        <v>45877</v>
      </c>
      <c r="D70">
        <v>8</v>
      </c>
      <c r="F70">
        <v>165178</v>
      </c>
      <c r="H70">
        <v>74364</v>
      </c>
      <c r="I70">
        <v>2</v>
      </c>
      <c r="K70" s="6">
        <v>45893</v>
      </c>
    </row>
    <row r="71" spans="1:11" hidden="1" x14ac:dyDescent="0.25">
      <c r="A71" t="s">
        <v>102</v>
      </c>
      <c r="B71" t="s">
        <v>28</v>
      </c>
      <c r="C71" s="6">
        <v>45949</v>
      </c>
      <c r="D71">
        <v>75</v>
      </c>
      <c r="F71">
        <v>127982</v>
      </c>
      <c r="H71">
        <v>36162</v>
      </c>
      <c r="I71">
        <v>16</v>
      </c>
      <c r="K71" s="6">
        <v>46052</v>
      </c>
    </row>
    <row r="72" spans="1:11" hidden="1" x14ac:dyDescent="0.25">
      <c r="A72" t="s">
        <v>103</v>
      </c>
      <c r="B72" t="s">
        <v>20</v>
      </c>
      <c r="C72" s="6">
        <v>45728</v>
      </c>
      <c r="D72">
        <v>80</v>
      </c>
      <c r="F72">
        <v>104150</v>
      </c>
      <c r="H72">
        <v>61551</v>
      </c>
      <c r="I72">
        <v>17</v>
      </c>
      <c r="K72" s="6">
        <v>45786</v>
      </c>
    </row>
    <row r="73" spans="1:11" hidden="1" x14ac:dyDescent="0.25">
      <c r="A73" t="s">
        <v>104</v>
      </c>
      <c r="B73" t="s">
        <v>17</v>
      </c>
      <c r="C73" s="6">
        <v>45990</v>
      </c>
      <c r="D73">
        <v>78</v>
      </c>
      <c r="F73">
        <v>108262</v>
      </c>
      <c r="H73">
        <v>67905</v>
      </c>
      <c r="I73">
        <v>3</v>
      </c>
      <c r="K73" s="6">
        <v>46107</v>
      </c>
    </row>
    <row r="74" spans="1:11" hidden="1" x14ac:dyDescent="0.25">
      <c r="A74" t="s">
        <v>105</v>
      </c>
      <c r="B74" t="s">
        <v>20</v>
      </c>
      <c r="C74" s="6">
        <v>45975</v>
      </c>
      <c r="D74">
        <v>84</v>
      </c>
      <c r="F74">
        <v>185940</v>
      </c>
      <c r="H74">
        <v>15776</v>
      </c>
      <c r="I74">
        <v>12</v>
      </c>
      <c r="K74" s="6">
        <v>46032</v>
      </c>
    </row>
    <row r="75" spans="1:11" hidden="1" x14ac:dyDescent="0.25">
      <c r="A75" t="s">
        <v>106</v>
      </c>
      <c r="B75" t="s">
        <v>28</v>
      </c>
      <c r="C75" s="6">
        <v>45848</v>
      </c>
      <c r="D75">
        <v>69</v>
      </c>
      <c r="F75">
        <v>105500</v>
      </c>
      <c r="H75">
        <v>2156</v>
      </c>
      <c r="I75">
        <v>17</v>
      </c>
      <c r="K75" s="6">
        <v>45884</v>
      </c>
    </row>
    <row r="76" spans="1:11" hidden="1" x14ac:dyDescent="0.25">
      <c r="A76" t="s">
        <v>107</v>
      </c>
      <c r="B76" t="s">
        <v>12</v>
      </c>
      <c r="C76" s="6">
        <v>45895</v>
      </c>
      <c r="D76">
        <v>54</v>
      </c>
      <c r="F76">
        <v>106026</v>
      </c>
      <c r="H76">
        <v>67065</v>
      </c>
      <c r="I76">
        <v>16</v>
      </c>
      <c r="K76" s="6">
        <v>45959</v>
      </c>
    </row>
    <row r="77" spans="1:11" hidden="1" x14ac:dyDescent="0.25">
      <c r="A77" t="s">
        <v>108</v>
      </c>
      <c r="B77" t="s">
        <v>20</v>
      </c>
      <c r="C77" s="6">
        <v>45922</v>
      </c>
      <c r="D77">
        <v>0</v>
      </c>
      <c r="F77">
        <v>185245</v>
      </c>
      <c r="H77">
        <v>45978</v>
      </c>
      <c r="I77">
        <v>2</v>
      </c>
      <c r="K77" s="6">
        <v>45977</v>
      </c>
    </row>
    <row r="78" spans="1:11" hidden="1" x14ac:dyDescent="0.25">
      <c r="A78" t="s">
        <v>109</v>
      </c>
      <c r="B78" t="s">
        <v>20</v>
      </c>
      <c r="C78" s="6">
        <v>45844</v>
      </c>
      <c r="D78">
        <v>44</v>
      </c>
      <c r="F78">
        <v>96121</v>
      </c>
      <c r="H78">
        <v>9763</v>
      </c>
      <c r="I78">
        <v>10</v>
      </c>
      <c r="K78" s="6">
        <v>45879</v>
      </c>
    </row>
    <row r="79" spans="1:11" hidden="1" x14ac:dyDescent="0.25">
      <c r="A79" t="s">
        <v>110</v>
      </c>
      <c r="B79" t="s">
        <v>20</v>
      </c>
      <c r="C79" s="6">
        <v>45685</v>
      </c>
      <c r="D79">
        <v>59</v>
      </c>
      <c r="F79">
        <v>193777</v>
      </c>
      <c r="H79">
        <v>58162</v>
      </c>
      <c r="I79">
        <v>14</v>
      </c>
      <c r="K79" s="6">
        <v>45746</v>
      </c>
    </row>
    <row r="80" spans="1:11" hidden="1" x14ac:dyDescent="0.25">
      <c r="A80" t="s">
        <v>111</v>
      </c>
      <c r="B80" t="s">
        <v>20</v>
      </c>
      <c r="C80" s="6">
        <v>45674</v>
      </c>
      <c r="D80">
        <v>61</v>
      </c>
      <c r="F80">
        <v>37516</v>
      </c>
      <c r="H80">
        <v>62288</v>
      </c>
      <c r="I80">
        <v>17</v>
      </c>
      <c r="K80" s="6">
        <v>45751</v>
      </c>
    </row>
    <row r="81" spans="1:11" hidden="1" x14ac:dyDescent="0.25">
      <c r="A81" t="s">
        <v>112</v>
      </c>
      <c r="B81" t="s">
        <v>28</v>
      </c>
      <c r="C81" s="6">
        <v>45844</v>
      </c>
      <c r="D81">
        <v>70</v>
      </c>
      <c r="F81">
        <v>234610</v>
      </c>
      <c r="H81">
        <v>70450</v>
      </c>
      <c r="I81">
        <v>13</v>
      </c>
      <c r="K81" s="6">
        <v>45914</v>
      </c>
    </row>
    <row r="82" spans="1:11" hidden="1" x14ac:dyDescent="0.25">
      <c r="A82" t="s">
        <v>113</v>
      </c>
      <c r="B82" t="s">
        <v>20</v>
      </c>
      <c r="C82"/>
      <c r="D82">
        <v>79</v>
      </c>
      <c r="E82" t="s">
        <v>40</v>
      </c>
      <c r="F82">
        <v>94994</v>
      </c>
      <c r="G82" t="s">
        <v>25</v>
      </c>
      <c r="H82">
        <v>79435</v>
      </c>
      <c r="I82">
        <v>17</v>
      </c>
      <c r="J82" t="s">
        <v>15</v>
      </c>
    </row>
    <row r="83" spans="1:11" hidden="1" x14ac:dyDescent="0.25">
      <c r="A83" t="s">
        <v>114</v>
      </c>
      <c r="B83" t="s">
        <v>20</v>
      </c>
      <c r="C83"/>
      <c r="D83">
        <v>72</v>
      </c>
      <c r="E83" t="s">
        <v>13</v>
      </c>
      <c r="F83">
        <v>136340</v>
      </c>
      <c r="G83" t="s">
        <v>14</v>
      </c>
      <c r="H83">
        <v>18953</v>
      </c>
      <c r="I83">
        <v>7</v>
      </c>
      <c r="J83" t="s">
        <v>15</v>
      </c>
    </row>
    <row r="84" spans="1:11" hidden="1" x14ac:dyDescent="0.25">
      <c r="A84" t="s">
        <v>115</v>
      </c>
      <c r="B84" t="s">
        <v>28</v>
      </c>
      <c r="C84"/>
      <c r="D84">
        <v>75</v>
      </c>
      <c r="E84" t="s">
        <v>21</v>
      </c>
      <c r="F84">
        <v>210067</v>
      </c>
      <c r="G84" t="s">
        <v>25</v>
      </c>
      <c r="H84">
        <v>10256</v>
      </c>
      <c r="I84">
        <v>18</v>
      </c>
      <c r="J84" t="s">
        <v>29</v>
      </c>
    </row>
    <row r="85" spans="1:11" hidden="1" x14ac:dyDescent="0.25">
      <c r="A85" t="s">
        <v>116</v>
      </c>
      <c r="B85" t="s">
        <v>17</v>
      </c>
      <c r="C85"/>
      <c r="D85">
        <v>39</v>
      </c>
      <c r="E85" t="s">
        <v>13</v>
      </c>
      <c r="F85">
        <v>183204</v>
      </c>
      <c r="G85" t="s">
        <v>22</v>
      </c>
      <c r="H85">
        <v>38939</v>
      </c>
      <c r="I85">
        <v>14</v>
      </c>
      <c r="J85" t="s">
        <v>35</v>
      </c>
    </row>
    <row r="86" spans="1:11" hidden="1" x14ac:dyDescent="0.25">
      <c r="A86" t="s">
        <v>117</v>
      </c>
      <c r="B86" t="s">
        <v>12</v>
      </c>
      <c r="C86"/>
      <c r="D86">
        <v>0</v>
      </c>
      <c r="E86" t="s">
        <v>13</v>
      </c>
      <c r="F86">
        <v>165909</v>
      </c>
      <c r="G86" t="s">
        <v>14</v>
      </c>
      <c r="H86">
        <v>23016</v>
      </c>
      <c r="I86">
        <v>7</v>
      </c>
      <c r="J86" t="s">
        <v>18</v>
      </c>
    </row>
    <row r="87" spans="1:11" hidden="1" x14ac:dyDescent="0.25">
      <c r="A87" t="s">
        <v>118</v>
      </c>
      <c r="B87" t="s">
        <v>17</v>
      </c>
      <c r="C87"/>
      <c r="D87">
        <v>8</v>
      </c>
      <c r="E87" t="s">
        <v>40</v>
      </c>
      <c r="F87">
        <v>177176</v>
      </c>
      <c r="G87" t="s">
        <v>25</v>
      </c>
      <c r="H87">
        <v>2271</v>
      </c>
      <c r="I87">
        <v>11</v>
      </c>
      <c r="J87" t="s">
        <v>15</v>
      </c>
    </row>
    <row r="88" spans="1:11" hidden="1" x14ac:dyDescent="0.25">
      <c r="A88" t="s">
        <v>119</v>
      </c>
      <c r="B88" t="s">
        <v>17</v>
      </c>
      <c r="C88"/>
      <c r="D88">
        <v>61</v>
      </c>
      <c r="E88" t="s">
        <v>21</v>
      </c>
      <c r="F88">
        <v>108589</v>
      </c>
      <c r="G88" t="s">
        <v>14</v>
      </c>
      <c r="H88">
        <v>11641</v>
      </c>
      <c r="I88">
        <v>3</v>
      </c>
      <c r="J88" t="s">
        <v>29</v>
      </c>
    </row>
    <row r="89" spans="1:11" hidden="1" x14ac:dyDescent="0.25">
      <c r="A89" t="s">
        <v>120</v>
      </c>
      <c r="B89" t="s">
        <v>12</v>
      </c>
      <c r="C89"/>
      <c r="D89">
        <v>4</v>
      </c>
      <c r="E89" t="s">
        <v>40</v>
      </c>
      <c r="F89">
        <v>176550</v>
      </c>
      <c r="G89" t="s">
        <v>14</v>
      </c>
      <c r="H89">
        <v>64589</v>
      </c>
      <c r="I89">
        <v>0</v>
      </c>
      <c r="J89" t="s">
        <v>26</v>
      </c>
    </row>
    <row r="90" spans="1:11" hidden="1" x14ac:dyDescent="0.25">
      <c r="A90" t="s">
        <v>121</v>
      </c>
      <c r="B90" t="s">
        <v>12</v>
      </c>
      <c r="C90"/>
      <c r="D90">
        <v>56</v>
      </c>
      <c r="E90" t="s">
        <v>24</v>
      </c>
      <c r="F90">
        <v>241915</v>
      </c>
      <c r="G90" t="s">
        <v>34</v>
      </c>
      <c r="H90">
        <v>30157</v>
      </c>
      <c r="I90">
        <v>7</v>
      </c>
      <c r="J90" t="s">
        <v>35</v>
      </c>
    </row>
    <row r="91" spans="1:11" hidden="1" x14ac:dyDescent="0.25">
      <c r="A91" t="s">
        <v>122</v>
      </c>
      <c r="B91" t="s">
        <v>28</v>
      </c>
      <c r="C91"/>
      <c r="D91">
        <v>10</v>
      </c>
      <c r="E91" t="s">
        <v>21</v>
      </c>
      <c r="F91">
        <v>49892</v>
      </c>
      <c r="G91" t="s">
        <v>14</v>
      </c>
      <c r="H91">
        <v>76728</v>
      </c>
      <c r="I91">
        <v>13</v>
      </c>
      <c r="J91" t="s">
        <v>35</v>
      </c>
    </row>
    <row r="92" spans="1:11" hidden="1" x14ac:dyDescent="0.25">
      <c r="A92" t="s">
        <v>123</v>
      </c>
      <c r="B92" t="s">
        <v>20</v>
      </c>
      <c r="C92"/>
      <c r="D92">
        <v>37</v>
      </c>
      <c r="E92" t="s">
        <v>40</v>
      </c>
      <c r="F92">
        <v>136884</v>
      </c>
      <c r="G92" t="s">
        <v>22</v>
      </c>
      <c r="H92">
        <v>74735</v>
      </c>
      <c r="I92">
        <v>1</v>
      </c>
      <c r="J92" t="s">
        <v>35</v>
      </c>
    </row>
    <row r="93" spans="1:11" hidden="1" x14ac:dyDescent="0.25">
      <c r="A93" t="s">
        <v>124</v>
      </c>
      <c r="B93" t="s">
        <v>17</v>
      </c>
      <c r="C93"/>
      <c r="D93">
        <v>13</v>
      </c>
      <c r="E93" t="s">
        <v>24</v>
      </c>
      <c r="F93">
        <v>43447</v>
      </c>
      <c r="G93" t="s">
        <v>25</v>
      </c>
      <c r="H93">
        <v>52411</v>
      </c>
      <c r="I93">
        <v>16</v>
      </c>
      <c r="J93" t="s">
        <v>35</v>
      </c>
    </row>
    <row r="94" spans="1:11" hidden="1" x14ac:dyDescent="0.25">
      <c r="A94" t="s">
        <v>125</v>
      </c>
      <c r="B94" t="s">
        <v>12</v>
      </c>
      <c r="C94"/>
      <c r="D94">
        <v>38</v>
      </c>
      <c r="E94" t="s">
        <v>21</v>
      </c>
      <c r="F94">
        <v>126492</v>
      </c>
      <c r="G94" t="s">
        <v>25</v>
      </c>
      <c r="H94">
        <v>61604</v>
      </c>
      <c r="I94">
        <v>11</v>
      </c>
      <c r="J94" t="s">
        <v>18</v>
      </c>
    </row>
    <row r="95" spans="1:11" hidden="1" x14ac:dyDescent="0.25">
      <c r="A95" t="s">
        <v>126</v>
      </c>
      <c r="B95" t="s">
        <v>12</v>
      </c>
      <c r="C95"/>
      <c r="D95">
        <v>61</v>
      </c>
      <c r="E95" t="s">
        <v>21</v>
      </c>
      <c r="F95">
        <v>54990</v>
      </c>
      <c r="G95" t="s">
        <v>22</v>
      </c>
      <c r="H95">
        <v>39291</v>
      </c>
      <c r="I95">
        <v>9</v>
      </c>
      <c r="J95" t="s">
        <v>26</v>
      </c>
    </row>
    <row r="96" spans="1:11" hidden="1" x14ac:dyDescent="0.25">
      <c r="A96" t="s">
        <v>127</v>
      </c>
      <c r="B96" t="s">
        <v>28</v>
      </c>
      <c r="C96"/>
      <c r="D96">
        <v>33</v>
      </c>
      <c r="E96" t="s">
        <v>13</v>
      </c>
      <c r="F96">
        <v>68576</v>
      </c>
      <c r="G96" t="s">
        <v>34</v>
      </c>
      <c r="H96">
        <v>16717</v>
      </c>
      <c r="I96">
        <v>5</v>
      </c>
      <c r="J96" t="s">
        <v>26</v>
      </c>
    </row>
    <row r="97" spans="1:10" hidden="1" x14ac:dyDescent="0.25">
      <c r="A97" t="s">
        <v>128</v>
      </c>
      <c r="B97" t="s">
        <v>20</v>
      </c>
      <c r="C97"/>
      <c r="D97">
        <v>78</v>
      </c>
      <c r="E97" t="s">
        <v>13</v>
      </c>
      <c r="F97">
        <v>99399</v>
      </c>
      <c r="G97" t="s">
        <v>22</v>
      </c>
      <c r="H97">
        <v>28065</v>
      </c>
      <c r="I97">
        <v>17</v>
      </c>
      <c r="J97" t="s">
        <v>35</v>
      </c>
    </row>
    <row r="98" spans="1:10" hidden="1" x14ac:dyDescent="0.25">
      <c r="A98" t="s">
        <v>129</v>
      </c>
      <c r="B98" t="s">
        <v>12</v>
      </c>
      <c r="C98"/>
      <c r="D98">
        <v>67</v>
      </c>
      <c r="E98" t="s">
        <v>13</v>
      </c>
      <c r="F98">
        <v>113849</v>
      </c>
      <c r="G98" t="s">
        <v>14</v>
      </c>
      <c r="H98">
        <v>48492</v>
      </c>
      <c r="I98">
        <v>2</v>
      </c>
      <c r="J98" t="s">
        <v>15</v>
      </c>
    </row>
    <row r="99" spans="1:10" hidden="1" x14ac:dyDescent="0.25">
      <c r="A99" t="s">
        <v>130</v>
      </c>
      <c r="B99" t="s">
        <v>28</v>
      </c>
      <c r="C99"/>
      <c r="D99">
        <v>38</v>
      </c>
      <c r="E99" t="s">
        <v>13</v>
      </c>
      <c r="F99">
        <v>183162</v>
      </c>
      <c r="G99" t="s">
        <v>34</v>
      </c>
      <c r="H99">
        <v>37022</v>
      </c>
      <c r="I99">
        <v>0</v>
      </c>
      <c r="J99" t="s">
        <v>15</v>
      </c>
    </row>
    <row r="100" spans="1:10" hidden="1" x14ac:dyDescent="0.25">
      <c r="A100" t="s">
        <v>131</v>
      </c>
      <c r="B100" t="s">
        <v>20</v>
      </c>
      <c r="C100"/>
      <c r="D100">
        <v>69</v>
      </c>
      <c r="E100" t="s">
        <v>21</v>
      </c>
      <c r="F100">
        <v>79335</v>
      </c>
      <c r="G100" t="s">
        <v>22</v>
      </c>
      <c r="H100">
        <v>14994</v>
      </c>
      <c r="I100">
        <v>18</v>
      </c>
      <c r="J100" t="s">
        <v>29</v>
      </c>
    </row>
    <row r="101" spans="1:10" hidden="1" x14ac:dyDescent="0.25">
      <c r="A101" t="s">
        <v>132</v>
      </c>
      <c r="B101" t="s">
        <v>12</v>
      </c>
      <c r="C101"/>
      <c r="D101">
        <v>28</v>
      </c>
      <c r="E101" t="s">
        <v>21</v>
      </c>
      <c r="F101">
        <v>20381</v>
      </c>
      <c r="G101" t="s">
        <v>14</v>
      </c>
      <c r="H101">
        <v>72608</v>
      </c>
      <c r="I101">
        <v>18</v>
      </c>
      <c r="J101" t="s">
        <v>35</v>
      </c>
    </row>
    <row r="102" spans="1:10" hidden="1" x14ac:dyDescent="0.25">
      <c r="A102" t="s">
        <v>133</v>
      </c>
      <c r="B102" t="s">
        <v>17</v>
      </c>
      <c r="C102"/>
      <c r="D102">
        <v>13</v>
      </c>
      <c r="E102" t="s">
        <v>24</v>
      </c>
      <c r="F102">
        <v>162046</v>
      </c>
      <c r="G102" t="s">
        <v>22</v>
      </c>
      <c r="H102">
        <v>38405</v>
      </c>
      <c r="I102">
        <v>1</v>
      </c>
      <c r="J102" t="s">
        <v>35</v>
      </c>
    </row>
    <row r="103" spans="1:10" hidden="1" x14ac:dyDescent="0.25">
      <c r="A103" t="s">
        <v>134</v>
      </c>
      <c r="B103" t="s">
        <v>17</v>
      </c>
      <c r="C103"/>
      <c r="D103">
        <v>64</v>
      </c>
      <c r="E103" t="s">
        <v>40</v>
      </c>
      <c r="F103">
        <v>123658</v>
      </c>
      <c r="G103" t="s">
        <v>14</v>
      </c>
      <c r="H103">
        <v>34969</v>
      </c>
      <c r="I103">
        <v>16</v>
      </c>
      <c r="J103" t="s">
        <v>35</v>
      </c>
    </row>
    <row r="104" spans="1:10" hidden="1" x14ac:dyDescent="0.25">
      <c r="A104" t="s">
        <v>135</v>
      </c>
      <c r="B104" t="s">
        <v>12</v>
      </c>
      <c r="C104"/>
      <c r="D104">
        <v>87</v>
      </c>
      <c r="E104" t="s">
        <v>21</v>
      </c>
      <c r="F104">
        <v>33720</v>
      </c>
      <c r="G104" t="s">
        <v>14</v>
      </c>
      <c r="H104">
        <v>9207</v>
      </c>
      <c r="I104">
        <v>17</v>
      </c>
      <c r="J104" t="s">
        <v>35</v>
      </c>
    </row>
    <row r="105" spans="1:10" hidden="1" x14ac:dyDescent="0.25">
      <c r="A105" t="s">
        <v>136</v>
      </c>
      <c r="B105" t="s">
        <v>12</v>
      </c>
      <c r="C105"/>
      <c r="D105">
        <v>28</v>
      </c>
      <c r="E105" t="s">
        <v>13</v>
      </c>
      <c r="F105">
        <v>45651</v>
      </c>
      <c r="G105" t="s">
        <v>14</v>
      </c>
      <c r="H105">
        <v>52537</v>
      </c>
      <c r="I105">
        <v>5</v>
      </c>
      <c r="J105" t="s">
        <v>26</v>
      </c>
    </row>
    <row r="106" spans="1:10" hidden="1" x14ac:dyDescent="0.25">
      <c r="A106" t="s">
        <v>137</v>
      </c>
      <c r="B106" t="s">
        <v>17</v>
      </c>
      <c r="C106"/>
      <c r="D106">
        <v>80</v>
      </c>
      <c r="E106" t="s">
        <v>21</v>
      </c>
      <c r="F106">
        <v>11271</v>
      </c>
      <c r="G106" t="s">
        <v>22</v>
      </c>
      <c r="H106">
        <v>73364</v>
      </c>
      <c r="I106">
        <v>8</v>
      </c>
      <c r="J106" t="s">
        <v>26</v>
      </c>
    </row>
    <row r="107" spans="1:10" hidden="1" x14ac:dyDescent="0.25">
      <c r="A107" t="s">
        <v>138</v>
      </c>
      <c r="B107" t="s">
        <v>17</v>
      </c>
      <c r="C107"/>
      <c r="D107">
        <v>58</v>
      </c>
      <c r="E107" t="s">
        <v>21</v>
      </c>
      <c r="F107">
        <v>63995</v>
      </c>
      <c r="G107" t="s">
        <v>34</v>
      </c>
      <c r="H107">
        <v>59340</v>
      </c>
      <c r="I107">
        <v>18</v>
      </c>
      <c r="J107" t="s">
        <v>15</v>
      </c>
    </row>
    <row r="108" spans="1:10" hidden="1" x14ac:dyDescent="0.25">
      <c r="A108" t="s">
        <v>139</v>
      </c>
      <c r="B108" t="s">
        <v>12</v>
      </c>
      <c r="C108"/>
      <c r="D108">
        <v>72</v>
      </c>
      <c r="E108" t="s">
        <v>13</v>
      </c>
      <c r="F108">
        <v>189389</v>
      </c>
      <c r="G108" t="s">
        <v>22</v>
      </c>
      <c r="H108">
        <v>79800</v>
      </c>
      <c r="I108">
        <v>14</v>
      </c>
      <c r="J108" t="s">
        <v>15</v>
      </c>
    </row>
    <row r="109" spans="1:10" hidden="1" x14ac:dyDescent="0.25">
      <c r="A109" t="s">
        <v>140</v>
      </c>
      <c r="B109" t="s">
        <v>20</v>
      </c>
      <c r="C109"/>
      <c r="D109">
        <v>63</v>
      </c>
      <c r="E109" t="s">
        <v>13</v>
      </c>
      <c r="F109">
        <v>245385</v>
      </c>
      <c r="G109" t="s">
        <v>25</v>
      </c>
      <c r="H109">
        <v>47776</v>
      </c>
      <c r="I109">
        <v>15</v>
      </c>
      <c r="J109" t="s">
        <v>35</v>
      </c>
    </row>
    <row r="110" spans="1:10" hidden="1" x14ac:dyDescent="0.25">
      <c r="A110" t="s">
        <v>141</v>
      </c>
      <c r="B110" t="s">
        <v>12</v>
      </c>
      <c r="C110"/>
      <c r="D110">
        <v>15</v>
      </c>
      <c r="E110" t="s">
        <v>13</v>
      </c>
      <c r="F110">
        <v>166851</v>
      </c>
      <c r="G110" t="s">
        <v>14</v>
      </c>
      <c r="H110">
        <v>79239</v>
      </c>
      <c r="I110">
        <v>1</v>
      </c>
      <c r="J110" t="s">
        <v>18</v>
      </c>
    </row>
    <row r="111" spans="1:10" hidden="1" x14ac:dyDescent="0.25">
      <c r="A111" t="s">
        <v>142</v>
      </c>
      <c r="B111" t="s">
        <v>28</v>
      </c>
      <c r="C111"/>
      <c r="D111">
        <v>24</v>
      </c>
      <c r="E111" t="s">
        <v>24</v>
      </c>
      <c r="F111">
        <v>173290</v>
      </c>
      <c r="G111" t="s">
        <v>22</v>
      </c>
      <c r="H111">
        <v>19206</v>
      </c>
      <c r="I111">
        <v>10</v>
      </c>
      <c r="J111" t="s">
        <v>35</v>
      </c>
    </row>
    <row r="112" spans="1:10" hidden="1" x14ac:dyDescent="0.25">
      <c r="A112" t="s">
        <v>143</v>
      </c>
      <c r="B112" t="s">
        <v>28</v>
      </c>
      <c r="C112"/>
      <c r="D112">
        <v>82</v>
      </c>
      <c r="E112" t="s">
        <v>24</v>
      </c>
      <c r="F112">
        <v>136612</v>
      </c>
      <c r="G112" t="s">
        <v>25</v>
      </c>
      <c r="H112">
        <v>46637</v>
      </c>
      <c r="I112">
        <v>10</v>
      </c>
      <c r="J112" t="s">
        <v>35</v>
      </c>
    </row>
    <row r="113" spans="1:11" hidden="1" x14ac:dyDescent="0.25">
      <c r="A113" t="s">
        <v>144</v>
      </c>
      <c r="B113" t="s">
        <v>28</v>
      </c>
      <c r="C113"/>
      <c r="D113">
        <v>2</v>
      </c>
      <c r="E113" t="s">
        <v>21</v>
      </c>
      <c r="F113">
        <v>108034</v>
      </c>
      <c r="G113" t="s">
        <v>25</v>
      </c>
      <c r="H113">
        <v>31721</v>
      </c>
      <c r="I113">
        <v>5</v>
      </c>
      <c r="J113" t="s">
        <v>29</v>
      </c>
    </row>
    <row r="114" spans="1:11" hidden="1" x14ac:dyDescent="0.25">
      <c r="A114" t="s">
        <v>145</v>
      </c>
      <c r="B114" t="s">
        <v>28</v>
      </c>
      <c r="C114"/>
      <c r="D114">
        <v>60</v>
      </c>
      <c r="E114" t="s">
        <v>13</v>
      </c>
      <c r="F114">
        <v>7923</v>
      </c>
      <c r="G114" t="s">
        <v>25</v>
      </c>
      <c r="H114">
        <v>68368</v>
      </c>
      <c r="I114">
        <v>10</v>
      </c>
      <c r="J114" t="s">
        <v>26</v>
      </c>
    </row>
    <row r="115" spans="1:11" hidden="1" x14ac:dyDescent="0.25">
      <c r="A115" t="s">
        <v>146</v>
      </c>
      <c r="B115" t="s">
        <v>20</v>
      </c>
      <c r="C115"/>
      <c r="D115">
        <v>81</v>
      </c>
      <c r="E115" t="s">
        <v>13</v>
      </c>
      <c r="F115">
        <v>23813</v>
      </c>
      <c r="G115" t="s">
        <v>14</v>
      </c>
      <c r="H115">
        <v>2615</v>
      </c>
      <c r="I115">
        <v>11</v>
      </c>
      <c r="J115" t="s">
        <v>29</v>
      </c>
    </row>
    <row r="116" spans="1:11" hidden="1" x14ac:dyDescent="0.25">
      <c r="A116" t="s">
        <v>147</v>
      </c>
      <c r="B116" t="s">
        <v>28</v>
      </c>
      <c r="C116"/>
      <c r="D116">
        <v>38</v>
      </c>
      <c r="E116" t="s">
        <v>21</v>
      </c>
      <c r="F116">
        <v>170216</v>
      </c>
      <c r="G116" t="s">
        <v>25</v>
      </c>
      <c r="H116">
        <v>37776</v>
      </c>
      <c r="I116">
        <v>4</v>
      </c>
      <c r="J116" t="s">
        <v>29</v>
      </c>
    </row>
    <row r="117" spans="1:11" hidden="1" x14ac:dyDescent="0.25">
      <c r="A117" t="s">
        <v>148</v>
      </c>
      <c r="B117" t="s">
        <v>20</v>
      </c>
      <c r="C117"/>
      <c r="D117">
        <v>50</v>
      </c>
      <c r="E117" t="s">
        <v>40</v>
      </c>
      <c r="F117">
        <v>51331</v>
      </c>
      <c r="G117" t="s">
        <v>25</v>
      </c>
      <c r="H117">
        <v>7242</v>
      </c>
      <c r="I117">
        <v>18</v>
      </c>
      <c r="J117" t="s">
        <v>26</v>
      </c>
    </row>
    <row r="118" spans="1:11" hidden="1" x14ac:dyDescent="0.25">
      <c r="A118" t="s">
        <v>149</v>
      </c>
      <c r="B118" t="s">
        <v>28</v>
      </c>
      <c r="C118"/>
      <c r="D118">
        <v>25</v>
      </c>
      <c r="E118" t="s">
        <v>21</v>
      </c>
      <c r="F118">
        <v>185394</v>
      </c>
      <c r="G118" t="s">
        <v>34</v>
      </c>
      <c r="H118">
        <v>37552</v>
      </c>
      <c r="I118">
        <v>8</v>
      </c>
      <c r="J118" t="s">
        <v>29</v>
      </c>
    </row>
    <row r="119" spans="1:11" hidden="1" x14ac:dyDescent="0.25">
      <c r="A119" t="s">
        <v>150</v>
      </c>
      <c r="B119" t="s">
        <v>20</v>
      </c>
      <c r="C119"/>
      <c r="D119">
        <v>22</v>
      </c>
      <c r="E119" t="s">
        <v>13</v>
      </c>
      <c r="F119">
        <v>16901</v>
      </c>
      <c r="G119" t="s">
        <v>22</v>
      </c>
      <c r="H119">
        <v>45849</v>
      </c>
      <c r="I119">
        <v>13</v>
      </c>
      <c r="J119" t="s">
        <v>15</v>
      </c>
    </row>
    <row r="120" spans="1:11" hidden="1" x14ac:dyDescent="0.25">
      <c r="A120" t="s">
        <v>151</v>
      </c>
      <c r="B120" t="s">
        <v>17</v>
      </c>
      <c r="C120"/>
      <c r="D120">
        <v>4</v>
      </c>
      <c r="E120" t="s">
        <v>40</v>
      </c>
      <c r="F120">
        <v>223023</v>
      </c>
      <c r="G120" t="s">
        <v>34</v>
      </c>
      <c r="H120">
        <v>32924</v>
      </c>
      <c r="I120">
        <v>4</v>
      </c>
      <c r="J120" t="s">
        <v>18</v>
      </c>
    </row>
    <row r="121" spans="1:11" hidden="1" x14ac:dyDescent="0.25">
      <c r="A121" t="s">
        <v>152</v>
      </c>
      <c r="B121" t="s">
        <v>28</v>
      </c>
      <c r="C121"/>
      <c r="D121">
        <v>30</v>
      </c>
      <c r="E121" t="s">
        <v>40</v>
      </c>
      <c r="F121">
        <v>170098</v>
      </c>
      <c r="G121" t="s">
        <v>22</v>
      </c>
      <c r="H121">
        <v>30092</v>
      </c>
      <c r="I121">
        <v>11</v>
      </c>
      <c r="J121" t="s">
        <v>29</v>
      </c>
    </row>
    <row r="122" spans="1:11" x14ac:dyDescent="0.25">
      <c r="A122" t="s">
        <v>153</v>
      </c>
      <c r="B122" t="s">
        <v>20</v>
      </c>
      <c r="C122" s="6">
        <v>46009</v>
      </c>
      <c r="D122">
        <v>44</v>
      </c>
      <c r="E122" t="s">
        <v>40</v>
      </c>
      <c r="F122" s="4">
        <v>153633</v>
      </c>
      <c r="G122" t="s">
        <v>22</v>
      </c>
      <c r="H122">
        <v>61828</v>
      </c>
      <c r="I122">
        <v>12</v>
      </c>
      <c r="J122" t="s">
        <v>35</v>
      </c>
      <c r="K122" s="6">
        <v>46048</v>
      </c>
    </row>
    <row r="123" spans="1:11" hidden="1" x14ac:dyDescent="0.25">
      <c r="A123" t="s">
        <v>154</v>
      </c>
      <c r="B123" t="s">
        <v>17</v>
      </c>
      <c r="C123" s="6">
        <v>45804</v>
      </c>
      <c r="D123">
        <v>48</v>
      </c>
      <c r="E123" t="s">
        <v>21</v>
      </c>
      <c r="F123">
        <v>197522</v>
      </c>
      <c r="G123" t="s">
        <v>14</v>
      </c>
      <c r="H123">
        <v>79705</v>
      </c>
      <c r="I123">
        <v>0</v>
      </c>
      <c r="J123" t="s">
        <v>18</v>
      </c>
      <c r="K123" s="6">
        <v>45870</v>
      </c>
    </row>
    <row r="124" spans="1:11" x14ac:dyDescent="0.25">
      <c r="A124" t="s">
        <v>155</v>
      </c>
      <c r="B124" t="s">
        <v>17</v>
      </c>
      <c r="C124" s="6">
        <v>45777</v>
      </c>
      <c r="D124">
        <v>35</v>
      </c>
      <c r="E124" t="s">
        <v>40</v>
      </c>
      <c r="F124" s="4">
        <v>204665</v>
      </c>
      <c r="G124" t="s">
        <v>22</v>
      </c>
      <c r="H124">
        <v>26837</v>
      </c>
      <c r="I124">
        <v>3</v>
      </c>
      <c r="J124" t="s">
        <v>15</v>
      </c>
      <c r="K124" s="6">
        <v>45806</v>
      </c>
    </row>
    <row r="125" spans="1:11" x14ac:dyDescent="0.25">
      <c r="A125" t="s">
        <v>156</v>
      </c>
      <c r="B125" t="s">
        <v>20</v>
      </c>
      <c r="C125" s="6">
        <v>45754</v>
      </c>
      <c r="D125">
        <v>3</v>
      </c>
      <c r="E125" t="s">
        <v>21</v>
      </c>
      <c r="F125" s="4">
        <v>65058</v>
      </c>
      <c r="G125" t="s">
        <v>22</v>
      </c>
      <c r="H125">
        <v>14432</v>
      </c>
      <c r="I125">
        <v>6</v>
      </c>
      <c r="J125" t="s">
        <v>35</v>
      </c>
      <c r="K125" s="6">
        <v>45791</v>
      </c>
    </row>
    <row r="126" spans="1:11" hidden="1" x14ac:dyDescent="0.25">
      <c r="A126" t="s">
        <v>157</v>
      </c>
      <c r="B126" t="s">
        <v>12</v>
      </c>
      <c r="C126" s="6">
        <v>45862</v>
      </c>
      <c r="D126">
        <v>55</v>
      </c>
      <c r="E126" t="s">
        <v>40</v>
      </c>
      <c r="F126">
        <v>178730</v>
      </c>
      <c r="G126" t="s">
        <v>34</v>
      </c>
      <c r="H126">
        <v>76223</v>
      </c>
      <c r="I126">
        <v>14</v>
      </c>
      <c r="J126" t="s">
        <v>26</v>
      </c>
      <c r="K126" s="6">
        <v>45940</v>
      </c>
    </row>
    <row r="127" spans="1:11" x14ac:dyDescent="0.25">
      <c r="A127" t="s">
        <v>158</v>
      </c>
      <c r="B127" t="s">
        <v>17</v>
      </c>
      <c r="C127" s="6">
        <v>45889</v>
      </c>
      <c r="D127">
        <v>32</v>
      </c>
      <c r="E127" t="s">
        <v>40</v>
      </c>
      <c r="F127" s="4">
        <v>111973</v>
      </c>
      <c r="G127" t="s">
        <v>25</v>
      </c>
      <c r="H127">
        <v>65799</v>
      </c>
      <c r="I127">
        <v>12</v>
      </c>
      <c r="J127" t="s">
        <v>29</v>
      </c>
      <c r="K127" s="6">
        <v>45930</v>
      </c>
    </row>
    <row r="128" spans="1:11" x14ac:dyDescent="0.25">
      <c r="A128" t="s">
        <v>159</v>
      </c>
      <c r="B128" t="s">
        <v>28</v>
      </c>
      <c r="C128" s="6">
        <v>45689</v>
      </c>
      <c r="D128">
        <v>22</v>
      </c>
      <c r="E128" t="s">
        <v>40</v>
      </c>
      <c r="F128" s="4">
        <v>153955</v>
      </c>
      <c r="G128" t="s">
        <v>25</v>
      </c>
      <c r="H128">
        <v>49931</v>
      </c>
      <c r="I128">
        <v>2</v>
      </c>
      <c r="J128" t="s">
        <v>29</v>
      </c>
      <c r="K128" s="6">
        <v>45728</v>
      </c>
    </row>
    <row r="129" spans="1:11" hidden="1" x14ac:dyDescent="0.25">
      <c r="A129" t="s">
        <v>160</v>
      </c>
      <c r="B129" t="s">
        <v>17</v>
      </c>
      <c r="C129" s="6">
        <v>45867</v>
      </c>
      <c r="D129">
        <v>51</v>
      </c>
      <c r="E129" t="s">
        <v>40</v>
      </c>
      <c r="F129">
        <v>77888</v>
      </c>
      <c r="G129" t="s">
        <v>25</v>
      </c>
      <c r="H129">
        <v>20131</v>
      </c>
      <c r="I129">
        <v>0</v>
      </c>
      <c r="J129" t="s">
        <v>35</v>
      </c>
      <c r="K129" s="6">
        <v>45928</v>
      </c>
    </row>
    <row r="130" spans="1:11" hidden="1" x14ac:dyDescent="0.25">
      <c r="A130" t="s">
        <v>161</v>
      </c>
      <c r="B130" t="s">
        <v>20</v>
      </c>
      <c r="C130" s="6">
        <v>45750</v>
      </c>
      <c r="D130">
        <v>73</v>
      </c>
      <c r="E130" t="s">
        <v>21</v>
      </c>
      <c r="F130">
        <v>177828</v>
      </c>
      <c r="G130" t="s">
        <v>14</v>
      </c>
      <c r="H130">
        <v>57314</v>
      </c>
      <c r="I130">
        <v>14</v>
      </c>
      <c r="J130" t="s">
        <v>18</v>
      </c>
      <c r="K130" s="6">
        <v>45865</v>
      </c>
    </row>
    <row r="131" spans="1:11" x14ac:dyDescent="0.25">
      <c r="A131" t="s">
        <v>162</v>
      </c>
      <c r="B131" t="s">
        <v>20</v>
      </c>
      <c r="C131" s="6">
        <v>46001</v>
      </c>
      <c r="D131">
        <v>47</v>
      </c>
      <c r="E131" t="s">
        <v>21</v>
      </c>
      <c r="F131" s="4">
        <v>84432</v>
      </c>
      <c r="G131" t="s">
        <v>14</v>
      </c>
      <c r="H131">
        <v>56516</v>
      </c>
      <c r="I131">
        <v>16</v>
      </c>
      <c r="J131" t="s">
        <v>18</v>
      </c>
      <c r="K131" s="6">
        <v>46052</v>
      </c>
    </row>
    <row r="132" spans="1:11" x14ac:dyDescent="0.25">
      <c r="A132" t="s">
        <v>163</v>
      </c>
      <c r="B132" t="s">
        <v>17</v>
      </c>
      <c r="C132" s="6">
        <v>45822</v>
      </c>
      <c r="D132">
        <v>33</v>
      </c>
      <c r="E132" t="s">
        <v>21</v>
      </c>
      <c r="F132" s="4">
        <v>10291</v>
      </c>
      <c r="G132" t="s">
        <v>34</v>
      </c>
      <c r="H132">
        <v>12137</v>
      </c>
      <c r="I132">
        <v>11</v>
      </c>
      <c r="J132" t="s">
        <v>15</v>
      </c>
      <c r="K132" s="6">
        <v>45872</v>
      </c>
    </row>
    <row r="133" spans="1:11" x14ac:dyDescent="0.25">
      <c r="A133" t="s">
        <v>164</v>
      </c>
      <c r="B133" t="s">
        <v>12</v>
      </c>
      <c r="C133" s="6">
        <v>45860</v>
      </c>
      <c r="D133">
        <v>19</v>
      </c>
      <c r="E133" t="s">
        <v>21</v>
      </c>
      <c r="F133" s="4">
        <v>200920</v>
      </c>
      <c r="G133" t="s">
        <v>14</v>
      </c>
      <c r="H133">
        <v>63095</v>
      </c>
      <c r="I133">
        <v>3</v>
      </c>
      <c r="J133" t="s">
        <v>29</v>
      </c>
      <c r="K133" s="6">
        <v>45888</v>
      </c>
    </row>
    <row r="134" spans="1:11" x14ac:dyDescent="0.25">
      <c r="A134" t="s">
        <v>165</v>
      </c>
      <c r="B134" t="s">
        <v>20</v>
      </c>
      <c r="C134" s="6">
        <v>45802</v>
      </c>
      <c r="D134">
        <v>63</v>
      </c>
      <c r="E134" t="s">
        <v>40</v>
      </c>
      <c r="F134" s="4">
        <v>149088</v>
      </c>
      <c r="G134" t="s">
        <v>25</v>
      </c>
      <c r="H134">
        <v>46893</v>
      </c>
      <c r="I134">
        <v>6</v>
      </c>
      <c r="J134" t="s">
        <v>26</v>
      </c>
      <c r="K134" s="6">
        <v>45922</v>
      </c>
    </row>
    <row r="135" spans="1:11" x14ac:dyDescent="0.25">
      <c r="A135" t="s">
        <v>166</v>
      </c>
      <c r="B135" t="s">
        <v>20</v>
      </c>
      <c r="C135" s="6">
        <v>46023</v>
      </c>
      <c r="D135">
        <v>47</v>
      </c>
      <c r="E135" t="s">
        <v>40</v>
      </c>
      <c r="F135" s="4">
        <v>208520</v>
      </c>
      <c r="G135" t="s">
        <v>22</v>
      </c>
      <c r="H135">
        <v>31766</v>
      </c>
      <c r="I135">
        <v>5</v>
      </c>
      <c r="J135" t="s">
        <v>15</v>
      </c>
      <c r="K135" s="6">
        <v>46072</v>
      </c>
    </row>
    <row r="136" spans="1:11" x14ac:dyDescent="0.25">
      <c r="A136" t="s">
        <v>167</v>
      </c>
      <c r="B136" t="s">
        <v>17</v>
      </c>
      <c r="C136" s="6">
        <v>45912</v>
      </c>
      <c r="D136">
        <v>36</v>
      </c>
      <c r="E136" t="s">
        <v>40</v>
      </c>
      <c r="F136" s="4">
        <v>228702</v>
      </c>
      <c r="G136" t="s">
        <v>14</v>
      </c>
      <c r="H136">
        <v>39276</v>
      </c>
      <c r="I136">
        <v>2</v>
      </c>
      <c r="J136" t="s">
        <v>18</v>
      </c>
      <c r="K136" s="6">
        <v>46027</v>
      </c>
    </row>
    <row r="137" spans="1:11" x14ac:dyDescent="0.25">
      <c r="A137" t="s">
        <v>168</v>
      </c>
      <c r="B137" t="s">
        <v>28</v>
      </c>
      <c r="C137" s="6">
        <v>45665</v>
      </c>
      <c r="D137">
        <v>56</v>
      </c>
      <c r="E137" t="s">
        <v>21</v>
      </c>
      <c r="F137" s="4">
        <v>6667</v>
      </c>
      <c r="G137" t="s">
        <v>34</v>
      </c>
      <c r="H137">
        <v>72787</v>
      </c>
      <c r="I137">
        <v>17</v>
      </c>
      <c r="J137" t="s">
        <v>29</v>
      </c>
      <c r="K137" s="6">
        <v>45678</v>
      </c>
    </row>
    <row r="138" spans="1:11" x14ac:dyDescent="0.25">
      <c r="A138" t="s">
        <v>169</v>
      </c>
      <c r="B138" t="s">
        <v>20</v>
      </c>
      <c r="C138" s="6">
        <v>45812</v>
      </c>
      <c r="D138">
        <v>75</v>
      </c>
      <c r="E138" t="s">
        <v>21</v>
      </c>
      <c r="F138" s="4">
        <v>213393</v>
      </c>
      <c r="G138" t="s">
        <v>25</v>
      </c>
      <c r="H138">
        <v>43625</v>
      </c>
      <c r="I138">
        <v>1</v>
      </c>
      <c r="J138" t="s">
        <v>35</v>
      </c>
      <c r="K138" s="6">
        <v>45848</v>
      </c>
    </row>
    <row r="139" spans="1:11" x14ac:dyDescent="0.25">
      <c r="A139" t="s">
        <v>170</v>
      </c>
      <c r="B139" t="s">
        <v>17</v>
      </c>
      <c r="C139" s="6">
        <v>45922</v>
      </c>
      <c r="D139">
        <v>72</v>
      </c>
      <c r="E139" t="s">
        <v>21</v>
      </c>
      <c r="F139" s="4">
        <v>207056</v>
      </c>
      <c r="G139" t="s">
        <v>34</v>
      </c>
      <c r="H139">
        <v>74024</v>
      </c>
      <c r="I139">
        <v>15</v>
      </c>
      <c r="J139" t="s">
        <v>15</v>
      </c>
      <c r="K139" s="6">
        <v>45961</v>
      </c>
    </row>
    <row r="140" spans="1:11" x14ac:dyDescent="0.25">
      <c r="A140" t="s">
        <v>171</v>
      </c>
      <c r="B140" t="s">
        <v>20</v>
      </c>
      <c r="C140" s="6">
        <v>45825</v>
      </c>
      <c r="D140">
        <v>64</v>
      </c>
      <c r="E140" t="s">
        <v>21</v>
      </c>
      <c r="F140" s="4">
        <v>108911</v>
      </c>
      <c r="G140" t="s">
        <v>14</v>
      </c>
      <c r="H140">
        <v>65502</v>
      </c>
      <c r="I140">
        <v>12</v>
      </c>
      <c r="J140" t="s">
        <v>29</v>
      </c>
      <c r="K140" s="6">
        <v>45871</v>
      </c>
    </row>
    <row r="141" spans="1:11" x14ac:dyDescent="0.25">
      <c r="A141" t="s">
        <v>172</v>
      </c>
      <c r="B141" t="s">
        <v>20</v>
      </c>
      <c r="C141" s="6">
        <v>45936</v>
      </c>
      <c r="D141">
        <v>74</v>
      </c>
      <c r="E141" t="s">
        <v>21</v>
      </c>
      <c r="F141" s="4">
        <v>143709</v>
      </c>
      <c r="G141" t="s">
        <v>22</v>
      </c>
      <c r="H141">
        <v>4127</v>
      </c>
      <c r="I141">
        <v>18</v>
      </c>
      <c r="J141" t="s">
        <v>26</v>
      </c>
      <c r="K141" s="6">
        <v>45982</v>
      </c>
    </row>
    <row r="142" spans="1:11" x14ac:dyDescent="0.25">
      <c r="A142" t="s">
        <v>173</v>
      </c>
      <c r="B142" t="s">
        <v>17</v>
      </c>
      <c r="C142" s="6">
        <v>45742</v>
      </c>
      <c r="D142">
        <v>36</v>
      </c>
      <c r="E142" t="s">
        <v>40</v>
      </c>
      <c r="F142" s="4">
        <v>162184</v>
      </c>
      <c r="G142" t="s">
        <v>34</v>
      </c>
      <c r="H142">
        <v>48888</v>
      </c>
      <c r="I142">
        <v>1</v>
      </c>
      <c r="J142" t="s">
        <v>15</v>
      </c>
      <c r="K142" s="6">
        <v>45772</v>
      </c>
    </row>
    <row r="143" spans="1:11" x14ac:dyDescent="0.25">
      <c r="A143" t="s">
        <v>174</v>
      </c>
      <c r="B143" t="s">
        <v>17</v>
      </c>
      <c r="C143" s="6">
        <v>45982</v>
      </c>
      <c r="D143">
        <v>15</v>
      </c>
      <c r="E143" t="s">
        <v>40</v>
      </c>
      <c r="F143" s="4">
        <v>75904</v>
      </c>
      <c r="G143" t="s">
        <v>22</v>
      </c>
      <c r="H143">
        <v>900</v>
      </c>
      <c r="I143">
        <v>13</v>
      </c>
      <c r="J143" t="s">
        <v>15</v>
      </c>
      <c r="K143" s="6">
        <v>46003</v>
      </c>
    </row>
    <row r="144" spans="1:11" x14ac:dyDescent="0.25">
      <c r="A144" t="s">
        <v>175</v>
      </c>
      <c r="B144" t="s">
        <v>20</v>
      </c>
      <c r="C144" s="6">
        <v>45871</v>
      </c>
      <c r="D144">
        <v>83</v>
      </c>
      <c r="E144" t="s">
        <v>21</v>
      </c>
      <c r="F144" s="4">
        <v>96593</v>
      </c>
      <c r="G144" t="s">
        <v>22</v>
      </c>
      <c r="H144">
        <v>3422</v>
      </c>
      <c r="I144">
        <v>16</v>
      </c>
      <c r="J144" t="s">
        <v>35</v>
      </c>
      <c r="K144" s="6">
        <v>45953</v>
      </c>
    </row>
    <row r="145" spans="1:11" x14ac:dyDescent="0.25">
      <c r="A145" t="s">
        <v>176</v>
      </c>
      <c r="B145" t="s">
        <v>17</v>
      </c>
      <c r="C145" s="6">
        <v>45777</v>
      </c>
      <c r="D145">
        <v>84</v>
      </c>
      <c r="E145" t="s">
        <v>21</v>
      </c>
      <c r="F145" s="4">
        <v>15291</v>
      </c>
      <c r="G145" t="s">
        <v>25</v>
      </c>
      <c r="H145">
        <v>3737</v>
      </c>
      <c r="I145">
        <v>8</v>
      </c>
      <c r="J145" t="s">
        <v>18</v>
      </c>
      <c r="K145" s="6">
        <v>45864</v>
      </c>
    </row>
    <row r="146" spans="1:11" hidden="1" x14ac:dyDescent="0.25">
      <c r="A146" t="s">
        <v>177</v>
      </c>
      <c r="B146" t="s">
        <v>28</v>
      </c>
      <c r="C146" s="6">
        <v>45789</v>
      </c>
      <c r="D146">
        <v>80</v>
      </c>
      <c r="E146" t="s">
        <v>21</v>
      </c>
      <c r="F146">
        <v>229950</v>
      </c>
      <c r="G146" t="s">
        <v>34</v>
      </c>
      <c r="H146">
        <v>14980</v>
      </c>
      <c r="I146">
        <v>4</v>
      </c>
      <c r="J146" t="s">
        <v>15</v>
      </c>
      <c r="K146" s="6">
        <v>45898</v>
      </c>
    </row>
    <row r="147" spans="1:11" x14ac:dyDescent="0.25">
      <c r="A147" t="s">
        <v>178</v>
      </c>
      <c r="B147" t="s">
        <v>17</v>
      </c>
      <c r="C147" s="6">
        <v>45740</v>
      </c>
      <c r="D147">
        <v>62</v>
      </c>
      <c r="E147" t="s">
        <v>40</v>
      </c>
      <c r="F147" s="4">
        <v>158673</v>
      </c>
      <c r="G147" t="s">
        <v>25</v>
      </c>
      <c r="H147">
        <v>15972</v>
      </c>
      <c r="I147">
        <v>6</v>
      </c>
      <c r="J147" t="s">
        <v>18</v>
      </c>
      <c r="K147" s="6">
        <v>45826</v>
      </c>
    </row>
    <row r="148" spans="1:11" x14ac:dyDescent="0.25">
      <c r="A148" t="s">
        <v>179</v>
      </c>
      <c r="B148" t="s">
        <v>17</v>
      </c>
      <c r="C148" s="6">
        <v>45886</v>
      </c>
      <c r="D148">
        <v>23</v>
      </c>
      <c r="E148" t="s">
        <v>40</v>
      </c>
      <c r="F148" s="4">
        <v>55476</v>
      </c>
      <c r="G148" t="s">
        <v>22</v>
      </c>
      <c r="H148">
        <v>39523</v>
      </c>
      <c r="I148">
        <v>8</v>
      </c>
      <c r="J148" t="s">
        <v>26</v>
      </c>
      <c r="K148" s="6">
        <v>45956</v>
      </c>
    </row>
    <row r="149" spans="1:11" x14ac:dyDescent="0.25">
      <c r="A149" t="s">
        <v>180</v>
      </c>
      <c r="B149" t="s">
        <v>28</v>
      </c>
      <c r="C149" s="6">
        <v>45977</v>
      </c>
      <c r="D149">
        <v>67</v>
      </c>
      <c r="E149" t="s">
        <v>40</v>
      </c>
      <c r="F149" s="4">
        <v>199482</v>
      </c>
      <c r="G149" t="s">
        <v>25</v>
      </c>
      <c r="H149">
        <v>36137</v>
      </c>
      <c r="I149">
        <v>11</v>
      </c>
      <c r="J149" t="s">
        <v>15</v>
      </c>
      <c r="K149" s="6">
        <v>46009</v>
      </c>
    </row>
    <row r="150" spans="1:11" x14ac:dyDescent="0.25">
      <c r="A150" t="s">
        <v>181</v>
      </c>
      <c r="B150" t="s">
        <v>17</v>
      </c>
      <c r="C150" s="6">
        <v>45674</v>
      </c>
      <c r="D150">
        <v>45</v>
      </c>
      <c r="E150" t="s">
        <v>21</v>
      </c>
      <c r="F150" s="4">
        <v>219571</v>
      </c>
      <c r="G150" t="s">
        <v>22</v>
      </c>
      <c r="H150">
        <v>21425</v>
      </c>
      <c r="I150">
        <v>18</v>
      </c>
      <c r="J150" t="s">
        <v>26</v>
      </c>
      <c r="K150" s="6">
        <v>45720</v>
      </c>
    </row>
    <row r="151" spans="1:11" x14ac:dyDescent="0.25">
      <c r="A151" t="s">
        <v>182</v>
      </c>
      <c r="B151" t="s">
        <v>17</v>
      </c>
      <c r="C151" s="6">
        <v>45949</v>
      </c>
      <c r="D151">
        <v>81</v>
      </c>
      <c r="E151" t="s">
        <v>21</v>
      </c>
      <c r="F151" s="4">
        <v>199713</v>
      </c>
      <c r="G151" t="s">
        <v>22</v>
      </c>
      <c r="H151">
        <v>42845</v>
      </c>
      <c r="I151">
        <v>8</v>
      </c>
      <c r="J151" t="s">
        <v>15</v>
      </c>
      <c r="K151" s="6">
        <v>46042</v>
      </c>
    </row>
    <row r="152" spans="1:11" x14ac:dyDescent="0.25">
      <c r="A152" t="s">
        <v>183</v>
      </c>
      <c r="B152" t="s">
        <v>17</v>
      </c>
      <c r="C152" s="6">
        <v>45709</v>
      </c>
      <c r="D152">
        <v>22</v>
      </c>
      <c r="E152" t="s">
        <v>21</v>
      </c>
      <c r="F152" s="4">
        <v>201497</v>
      </c>
      <c r="G152" t="s">
        <v>25</v>
      </c>
      <c r="H152">
        <v>72654</v>
      </c>
      <c r="I152">
        <v>1</v>
      </c>
      <c r="J152" t="s">
        <v>29</v>
      </c>
      <c r="K152" s="6">
        <v>45774</v>
      </c>
    </row>
    <row r="153" spans="1:11" hidden="1" x14ac:dyDescent="0.25">
      <c r="A153" t="s">
        <v>184</v>
      </c>
      <c r="B153" t="s">
        <v>28</v>
      </c>
      <c r="C153" s="6">
        <v>45992</v>
      </c>
      <c r="D153">
        <v>49</v>
      </c>
      <c r="E153" t="s">
        <v>21</v>
      </c>
      <c r="F153">
        <v>35133</v>
      </c>
      <c r="G153" t="s">
        <v>34</v>
      </c>
      <c r="H153">
        <v>36081</v>
      </c>
      <c r="I153">
        <v>14</v>
      </c>
      <c r="J153" t="s">
        <v>15</v>
      </c>
      <c r="K153" s="6">
        <v>46016</v>
      </c>
    </row>
    <row r="154" spans="1:11" x14ac:dyDescent="0.25">
      <c r="A154" t="s">
        <v>185</v>
      </c>
      <c r="B154" t="s">
        <v>17</v>
      </c>
      <c r="C154" s="6">
        <v>45966</v>
      </c>
      <c r="D154">
        <v>2</v>
      </c>
      <c r="E154" t="s">
        <v>40</v>
      </c>
      <c r="F154" s="4">
        <v>101739</v>
      </c>
      <c r="G154" t="s">
        <v>25</v>
      </c>
      <c r="H154">
        <v>27924</v>
      </c>
      <c r="I154">
        <v>9</v>
      </c>
      <c r="J154" t="s">
        <v>35</v>
      </c>
      <c r="K154" s="6">
        <v>46047</v>
      </c>
    </row>
    <row r="155" spans="1:11" hidden="1" x14ac:dyDescent="0.25">
      <c r="A155" t="s">
        <v>186</v>
      </c>
      <c r="B155" t="s">
        <v>12</v>
      </c>
      <c r="C155" s="6">
        <v>45981</v>
      </c>
      <c r="D155">
        <v>60</v>
      </c>
      <c r="E155" t="s">
        <v>21</v>
      </c>
      <c r="F155">
        <v>118005</v>
      </c>
      <c r="G155" t="s">
        <v>14</v>
      </c>
      <c r="H155">
        <v>23483</v>
      </c>
      <c r="I155">
        <v>4</v>
      </c>
      <c r="J155" t="s">
        <v>18</v>
      </c>
      <c r="K155" s="6">
        <v>46082</v>
      </c>
    </row>
    <row r="156" spans="1:11" x14ac:dyDescent="0.25">
      <c r="A156" t="s">
        <v>187</v>
      </c>
      <c r="B156" t="s">
        <v>20</v>
      </c>
      <c r="C156" s="6">
        <v>45872</v>
      </c>
      <c r="D156">
        <v>14</v>
      </c>
      <c r="E156" t="s">
        <v>21</v>
      </c>
      <c r="F156" s="4">
        <v>192359</v>
      </c>
      <c r="G156" t="s">
        <v>14</v>
      </c>
      <c r="H156">
        <v>41168</v>
      </c>
      <c r="I156">
        <v>9</v>
      </c>
      <c r="J156" t="s">
        <v>26</v>
      </c>
      <c r="K156" s="6">
        <v>45952</v>
      </c>
    </row>
    <row r="157" spans="1:11" x14ac:dyDescent="0.25">
      <c r="A157" t="s">
        <v>188</v>
      </c>
      <c r="B157" t="s">
        <v>12</v>
      </c>
      <c r="C157" s="6">
        <v>45756</v>
      </c>
      <c r="D157">
        <v>65</v>
      </c>
      <c r="E157" t="s">
        <v>21</v>
      </c>
      <c r="F157" s="4">
        <v>229068</v>
      </c>
      <c r="G157" t="s">
        <v>22</v>
      </c>
      <c r="H157">
        <v>15568</v>
      </c>
      <c r="I157">
        <v>9</v>
      </c>
      <c r="J157" t="s">
        <v>26</v>
      </c>
      <c r="K157" s="6">
        <v>45818</v>
      </c>
    </row>
    <row r="158" spans="1:11" x14ac:dyDescent="0.25">
      <c r="A158" t="s">
        <v>189</v>
      </c>
      <c r="B158" t="s">
        <v>12</v>
      </c>
      <c r="C158" s="6">
        <v>45752</v>
      </c>
      <c r="D158">
        <v>3</v>
      </c>
      <c r="E158" t="s">
        <v>21</v>
      </c>
      <c r="F158" s="4">
        <v>214250</v>
      </c>
      <c r="G158" t="s">
        <v>14</v>
      </c>
      <c r="H158">
        <v>22245</v>
      </c>
      <c r="I158">
        <v>15</v>
      </c>
      <c r="J158" t="s">
        <v>26</v>
      </c>
      <c r="K158" s="6">
        <v>45806</v>
      </c>
    </row>
    <row r="159" spans="1:11" x14ac:dyDescent="0.25">
      <c r="A159" t="s">
        <v>190</v>
      </c>
      <c r="B159" t="s">
        <v>17</v>
      </c>
      <c r="C159" s="6">
        <v>45871</v>
      </c>
      <c r="D159">
        <v>16</v>
      </c>
      <c r="E159" t="s">
        <v>21</v>
      </c>
      <c r="F159" s="4">
        <v>223309</v>
      </c>
      <c r="G159" t="s">
        <v>34</v>
      </c>
      <c r="H159">
        <v>61229</v>
      </c>
      <c r="I159">
        <v>16</v>
      </c>
      <c r="J159" t="s">
        <v>35</v>
      </c>
      <c r="K159" s="6">
        <v>45950</v>
      </c>
    </row>
    <row r="160" spans="1:11" x14ac:dyDescent="0.25">
      <c r="A160" t="s">
        <v>191</v>
      </c>
      <c r="B160" t="s">
        <v>12</v>
      </c>
      <c r="C160" s="6">
        <v>45864</v>
      </c>
      <c r="D160">
        <v>35</v>
      </c>
      <c r="E160" t="s">
        <v>40</v>
      </c>
      <c r="F160" s="4">
        <v>166500</v>
      </c>
      <c r="G160" t="s">
        <v>34</v>
      </c>
      <c r="H160">
        <v>7768</v>
      </c>
      <c r="I160">
        <v>5</v>
      </c>
      <c r="J160" t="s">
        <v>26</v>
      </c>
      <c r="K160" s="6">
        <v>45913</v>
      </c>
    </row>
    <row r="161" spans="1:11" hidden="1" x14ac:dyDescent="0.25">
      <c r="A161" t="s">
        <v>192</v>
      </c>
      <c r="B161" t="s">
        <v>28</v>
      </c>
      <c r="C161" s="6">
        <v>45941</v>
      </c>
      <c r="D161">
        <v>63</v>
      </c>
      <c r="E161" t="s">
        <v>21</v>
      </c>
      <c r="F161">
        <v>183095</v>
      </c>
      <c r="G161" t="s">
        <v>34</v>
      </c>
      <c r="H161">
        <v>19145</v>
      </c>
      <c r="I161">
        <v>0</v>
      </c>
      <c r="J161" t="s">
        <v>29</v>
      </c>
      <c r="K161" s="6">
        <v>45990</v>
      </c>
    </row>
    <row r="162" spans="1:11" hidden="1" x14ac:dyDescent="0.25">
      <c r="A162" t="s">
        <v>193</v>
      </c>
      <c r="B162" t="s">
        <v>28</v>
      </c>
      <c r="C162" s="6">
        <v>45673</v>
      </c>
      <c r="D162">
        <v>58</v>
      </c>
      <c r="E162" t="s">
        <v>40</v>
      </c>
      <c r="F162">
        <v>24779</v>
      </c>
      <c r="G162" t="s">
        <v>14</v>
      </c>
      <c r="H162">
        <v>23241</v>
      </c>
      <c r="I162">
        <v>14</v>
      </c>
      <c r="J162" t="s">
        <v>35</v>
      </c>
      <c r="K162" s="6">
        <v>45777</v>
      </c>
    </row>
    <row r="163" spans="1:11" x14ac:dyDescent="0.25">
      <c r="A163" t="s">
        <v>194</v>
      </c>
      <c r="B163" t="s">
        <v>20</v>
      </c>
      <c r="C163" s="6">
        <v>45691</v>
      </c>
      <c r="D163">
        <v>71</v>
      </c>
      <c r="E163" t="s">
        <v>40</v>
      </c>
      <c r="F163" s="4">
        <v>168331</v>
      </c>
      <c r="G163" t="s">
        <v>14</v>
      </c>
      <c r="H163">
        <v>30754</v>
      </c>
      <c r="I163">
        <v>3</v>
      </c>
      <c r="J163" t="s">
        <v>35</v>
      </c>
      <c r="K163" s="6">
        <v>45701</v>
      </c>
    </row>
    <row r="164" spans="1:11" x14ac:dyDescent="0.25">
      <c r="A164" t="s">
        <v>195</v>
      </c>
      <c r="B164" t="s">
        <v>20</v>
      </c>
      <c r="C164" s="6">
        <v>45730</v>
      </c>
      <c r="D164">
        <v>83</v>
      </c>
      <c r="E164" t="s">
        <v>40</v>
      </c>
      <c r="F164" s="4">
        <v>146152</v>
      </c>
      <c r="G164" t="s">
        <v>34</v>
      </c>
      <c r="H164">
        <v>3335</v>
      </c>
      <c r="I164">
        <v>13</v>
      </c>
      <c r="J164" t="s">
        <v>18</v>
      </c>
      <c r="K164" s="6">
        <v>45756</v>
      </c>
    </row>
    <row r="165" spans="1:11" x14ac:dyDescent="0.25">
      <c r="A165" t="s">
        <v>196</v>
      </c>
      <c r="B165" t="s">
        <v>17</v>
      </c>
      <c r="C165" s="6">
        <v>45864</v>
      </c>
      <c r="D165">
        <v>5</v>
      </c>
      <c r="E165" t="s">
        <v>40</v>
      </c>
      <c r="F165" s="4">
        <v>46693</v>
      </c>
      <c r="G165" t="s">
        <v>22</v>
      </c>
      <c r="H165">
        <v>1205</v>
      </c>
      <c r="I165">
        <v>13</v>
      </c>
      <c r="J165" t="s">
        <v>29</v>
      </c>
      <c r="K165" s="6">
        <v>45949</v>
      </c>
    </row>
    <row r="166" spans="1:11" x14ac:dyDescent="0.25">
      <c r="A166" t="s">
        <v>197</v>
      </c>
      <c r="B166" t="s">
        <v>17</v>
      </c>
      <c r="C166" s="6">
        <v>45850</v>
      </c>
      <c r="D166">
        <v>79</v>
      </c>
      <c r="E166" t="s">
        <v>40</v>
      </c>
      <c r="F166" s="4">
        <v>93490</v>
      </c>
      <c r="G166" t="s">
        <v>22</v>
      </c>
      <c r="H166">
        <v>20282</v>
      </c>
      <c r="I166">
        <v>16</v>
      </c>
      <c r="J166" t="s">
        <v>29</v>
      </c>
      <c r="K166" s="6">
        <v>45872</v>
      </c>
    </row>
    <row r="167" spans="1:11" x14ac:dyDescent="0.25">
      <c r="A167" t="s">
        <v>198</v>
      </c>
      <c r="B167" t="s">
        <v>20</v>
      </c>
      <c r="C167" s="6">
        <v>45818</v>
      </c>
      <c r="D167">
        <v>86</v>
      </c>
      <c r="E167" t="s">
        <v>21</v>
      </c>
      <c r="F167" s="4">
        <v>205158</v>
      </c>
      <c r="G167" t="s">
        <v>34</v>
      </c>
      <c r="H167">
        <v>7620</v>
      </c>
      <c r="I167">
        <v>6</v>
      </c>
      <c r="J167" t="s">
        <v>26</v>
      </c>
      <c r="K167" s="6">
        <v>45933</v>
      </c>
    </row>
    <row r="168" spans="1:11" x14ac:dyDescent="0.25">
      <c r="A168" t="s">
        <v>199</v>
      </c>
      <c r="B168" t="s">
        <v>17</v>
      </c>
      <c r="C168" s="6">
        <v>45687</v>
      </c>
      <c r="D168">
        <v>26</v>
      </c>
      <c r="E168" t="s">
        <v>40</v>
      </c>
      <c r="F168" s="4">
        <v>27214</v>
      </c>
      <c r="G168" t="s">
        <v>25</v>
      </c>
      <c r="H168">
        <v>36021</v>
      </c>
      <c r="I168">
        <v>5</v>
      </c>
      <c r="J168" t="s">
        <v>18</v>
      </c>
      <c r="K168" s="6">
        <v>45791</v>
      </c>
    </row>
    <row r="169" spans="1:11" x14ac:dyDescent="0.25">
      <c r="A169" t="s">
        <v>200</v>
      </c>
      <c r="B169" t="s">
        <v>12</v>
      </c>
      <c r="C169" s="6">
        <v>45975</v>
      </c>
      <c r="D169">
        <v>17</v>
      </c>
      <c r="E169" t="s">
        <v>40</v>
      </c>
      <c r="F169" s="4">
        <v>174402</v>
      </c>
      <c r="G169" t="s">
        <v>34</v>
      </c>
      <c r="H169">
        <v>42163</v>
      </c>
      <c r="I169">
        <v>5</v>
      </c>
      <c r="J169" t="s">
        <v>18</v>
      </c>
      <c r="K169" s="6">
        <v>46077</v>
      </c>
    </row>
    <row r="170" spans="1:11" x14ac:dyDescent="0.25">
      <c r="A170" t="s">
        <v>201</v>
      </c>
      <c r="B170" t="s">
        <v>20</v>
      </c>
      <c r="C170" s="6">
        <v>45760</v>
      </c>
      <c r="D170">
        <v>5</v>
      </c>
      <c r="E170" t="s">
        <v>40</v>
      </c>
      <c r="F170" s="4">
        <v>129277</v>
      </c>
      <c r="G170" t="s">
        <v>25</v>
      </c>
      <c r="H170">
        <v>75615</v>
      </c>
      <c r="I170">
        <v>15</v>
      </c>
      <c r="J170" t="s">
        <v>18</v>
      </c>
      <c r="K170" s="6">
        <v>45847</v>
      </c>
    </row>
    <row r="171" spans="1:11" x14ac:dyDescent="0.25">
      <c r="A171" t="s">
        <v>202</v>
      </c>
      <c r="B171" t="s">
        <v>12</v>
      </c>
      <c r="C171" s="6">
        <v>45873</v>
      </c>
      <c r="D171">
        <v>83</v>
      </c>
      <c r="E171" t="s">
        <v>21</v>
      </c>
      <c r="F171" s="4">
        <v>237048</v>
      </c>
      <c r="G171" t="s">
        <v>34</v>
      </c>
      <c r="H171">
        <v>34182</v>
      </c>
      <c r="I171">
        <v>16</v>
      </c>
      <c r="J171" t="s">
        <v>18</v>
      </c>
      <c r="K171" s="6">
        <v>45939</v>
      </c>
    </row>
    <row r="172" spans="1:11" x14ac:dyDescent="0.25">
      <c r="F172" s="4">
        <v>0</v>
      </c>
    </row>
    <row r="173" spans="1:11" ht="31.5" customHeight="1" x14ac:dyDescent="0.25">
      <c r="F173" s="4">
        <v>0</v>
      </c>
      <c r="H173">
        <f>AVERAGE(Table1[cost_kes])</f>
        <v>92161.005917159768</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3D45C-0307-41E5-BCE3-2855D09E499D}">
  <dimension ref="A4:L122"/>
  <sheetViews>
    <sheetView topLeftCell="A16" workbookViewId="0">
      <selection activeCell="E28" sqref="E27:E30"/>
    </sheetView>
  </sheetViews>
  <sheetFormatPr defaultRowHeight="15" x14ac:dyDescent="0.25"/>
  <cols>
    <col min="1" max="1" width="16.85546875" bestFit="1" customWidth="1"/>
    <col min="2" max="2" width="15.28515625" bestFit="1" customWidth="1"/>
    <col min="3" max="3" width="13.140625" bestFit="1" customWidth="1"/>
    <col min="4" max="4" width="15.28515625" bestFit="1" customWidth="1"/>
    <col min="5" max="5" width="13.140625" bestFit="1" customWidth="1"/>
    <col min="6" max="7" width="18.85546875" bestFit="1" customWidth="1"/>
    <col min="8" max="8" width="7.5703125" bestFit="1" customWidth="1"/>
    <col min="9" max="9" width="2.85546875" bestFit="1" customWidth="1"/>
    <col min="10" max="10" width="5.5703125" bestFit="1" customWidth="1"/>
    <col min="11" max="11" width="13.140625" bestFit="1" customWidth="1"/>
    <col min="12" max="12" width="18.42578125" bestFit="1" customWidth="1"/>
  </cols>
  <sheetData>
    <row r="4" spans="1:12" x14ac:dyDescent="0.25">
      <c r="A4" s="17" t="s">
        <v>205</v>
      </c>
      <c r="B4" t="s">
        <v>203</v>
      </c>
      <c r="C4" t="s">
        <v>204</v>
      </c>
      <c r="F4" s="8"/>
      <c r="G4" s="9"/>
      <c r="H4" s="10"/>
    </row>
    <row r="5" spans="1:12" x14ac:dyDescent="0.25">
      <c r="A5" s="18" t="s">
        <v>14</v>
      </c>
      <c r="B5" s="21">
        <v>1178805</v>
      </c>
      <c r="C5" s="21">
        <v>2881242</v>
      </c>
      <c r="F5" s="11"/>
      <c r="G5" s="12"/>
      <c r="H5" s="13"/>
    </row>
    <row r="6" spans="1:12" x14ac:dyDescent="0.25">
      <c r="A6" s="18" t="s">
        <v>22</v>
      </c>
      <c r="B6" s="21">
        <v>10844157</v>
      </c>
      <c r="C6" s="21">
        <v>3068900</v>
      </c>
      <c r="F6" s="11"/>
      <c r="G6" s="12"/>
      <c r="H6" s="13"/>
      <c r="K6" s="17" t="s">
        <v>205</v>
      </c>
      <c r="L6" t="s">
        <v>209</v>
      </c>
    </row>
    <row r="7" spans="1:12" x14ac:dyDescent="0.25">
      <c r="A7" s="18" t="s">
        <v>25</v>
      </c>
      <c r="B7" s="21">
        <v>964185</v>
      </c>
      <c r="C7" s="21">
        <v>2956147</v>
      </c>
      <c r="F7" s="11"/>
      <c r="G7" s="12"/>
      <c r="H7" s="13"/>
      <c r="K7" s="18" t="s">
        <v>33</v>
      </c>
      <c r="L7" s="21">
        <v>1</v>
      </c>
    </row>
    <row r="8" spans="1:12" x14ac:dyDescent="0.25">
      <c r="A8" s="18" t="s">
        <v>34</v>
      </c>
      <c r="B8" s="21">
        <v>994848</v>
      </c>
      <c r="C8" s="21">
        <v>3131740</v>
      </c>
      <c r="F8" s="11"/>
      <c r="G8" s="12"/>
      <c r="H8" s="13"/>
      <c r="K8" s="18" t="s">
        <v>31</v>
      </c>
      <c r="L8" s="21">
        <v>1</v>
      </c>
    </row>
    <row r="9" spans="1:12" x14ac:dyDescent="0.25">
      <c r="A9" s="18" t="s">
        <v>206</v>
      </c>
      <c r="B9" s="21">
        <v>1593215</v>
      </c>
      <c r="C9" s="21">
        <v>4763011</v>
      </c>
      <c r="F9" s="11"/>
      <c r="G9" s="12"/>
      <c r="H9" s="13"/>
      <c r="K9" s="20">
        <v>45661</v>
      </c>
      <c r="L9" s="21">
        <v>1</v>
      </c>
    </row>
    <row r="10" spans="1:12" x14ac:dyDescent="0.25">
      <c r="A10" s="18" t="s">
        <v>207</v>
      </c>
      <c r="B10" s="21">
        <v>15575210</v>
      </c>
      <c r="C10" s="21">
        <v>16801040</v>
      </c>
      <c r="F10" s="11"/>
      <c r="G10" s="12"/>
      <c r="H10" s="13"/>
      <c r="K10" s="20">
        <v>45662</v>
      </c>
      <c r="L10" s="21">
        <v>1</v>
      </c>
    </row>
    <row r="11" spans="1:12" x14ac:dyDescent="0.25">
      <c r="F11" s="11"/>
      <c r="G11" s="12"/>
      <c r="H11" s="13"/>
      <c r="K11" s="20">
        <v>45665</v>
      </c>
      <c r="L11" s="21">
        <v>1</v>
      </c>
    </row>
    <row r="12" spans="1:12" x14ac:dyDescent="0.25">
      <c r="F12" s="11"/>
      <c r="G12" s="12"/>
      <c r="H12" s="13"/>
      <c r="K12" s="20">
        <v>45673</v>
      </c>
      <c r="L12" s="21">
        <v>1</v>
      </c>
    </row>
    <row r="13" spans="1:12" x14ac:dyDescent="0.25">
      <c r="A13" s="17" t="s">
        <v>205</v>
      </c>
      <c r="B13" t="s">
        <v>208</v>
      </c>
      <c r="F13" s="11"/>
      <c r="G13" s="12"/>
      <c r="H13" s="13"/>
      <c r="K13" s="20">
        <v>45674</v>
      </c>
      <c r="L13" s="21">
        <v>3</v>
      </c>
    </row>
    <row r="14" spans="1:12" x14ac:dyDescent="0.25">
      <c r="A14" s="18" t="s">
        <v>12</v>
      </c>
      <c r="B14" s="21">
        <v>195</v>
      </c>
      <c r="F14" s="11"/>
      <c r="G14" s="12"/>
      <c r="H14" s="13"/>
      <c r="K14" s="20">
        <v>45685</v>
      </c>
      <c r="L14" s="21">
        <v>1</v>
      </c>
    </row>
    <row r="15" spans="1:12" x14ac:dyDescent="0.25">
      <c r="A15" s="19" t="s">
        <v>15</v>
      </c>
      <c r="B15" s="21">
        <v>17</v>
      </c>
      <c r="F15" s="11"/>
      <c r="G15" s="12"/>
      <c r="H15" s="13"/>
      <c r="K15" s="20">
        <v>45686</v>
      </c>
      <c r="L15" s="21">
        <v>1</v>
      </c>
    </row>
    <row r="16" spans="1:12" x14ac:dyDescent="0.25">
      <c r="A16" s="19" t="s">
        <v>18</v>
      </c>
      <c r="B16" s="21">
        <v>63</v>
      </c>
      <c r="C16" s="17" t="s">
        <v>205</v>
      </c>
      <c r="D16" t="s">
        <v>210</v>
      </c>
      <c r="E16" t="s">
        <v>211</v>
      </c>
      <c r="F16" s="11"/>
      <c r="G16" s="12"/>
      <c r="H16" s="13"/>
      <c r="K16" s="20">
        <v>45687</v>
      </c>
      <c r="L16" s="21">
        <v>1</v>
      </c>
    </row>
    <row r="17" spans="1:12" x14ac:dyDescent="0.25">
      <c r="A17" s="19" t="s">
        <v>26</v>
      </c>
      <c r="B17" s="21">
        <v>58</v>
      </c>
      <c r="C17" s="18" t="s">
        <v>15</v>
      </c>
      <c r="D17" s="4">
        <v>361724.33333333331</v>
      </c>
      <c r="E17" s="4">
        <v>9.32258064516129</v>
      </c>
      <c r="F17" s="11"/>
      <c r="G17" s="12"/>
      <c r="H17" s="13"/>
      <c r="K17" s="20">
        <v>45689</v>
      </c>
      <c r="L17" s="21">
        <v>1</v>
      </c>
    </row>
    <row r="18" spans="1:12" x14ac:dyDescent="0.25">
      <c r="A18" s="19" t="s">
        <v>29</v>
      </c>
      <c r="B18" s="21">
        <v>14</v>
      </c>
      <c r="C18" s="18" t="s">
        <v>18</v>
      </c>
      <c r="D18" s="4">
        <v>35511.846153846156</v>
      </c>
      <c r="E18" s="4">
        <v>8.8461538461538467</v>
      </c>
      <c r="F18" s="11"/>
      <c r="G18" s="12"/>
      <c r="H18" s="13"/>
      <c r="K18" s="20">
        <v>45691</v>
      </c>
      <c r="L18" s="21">
        <v>1</v>
      </c>
    </row>
    <row r="19" spans="1:12" x14ac:dyDescent="0.25">
      <c r="A19" s="19" t="s">
        <v>35</v>
      </c>
      <c r="B19" s="21">
        <v>43</v>
      </c>
      <c r="C19" s="18" t="s">
        <v>26</v>
      </c>
      <c r="D19" s="4">
        <v>25205.76923076923</v>
      </c>
      <c r="E19" s="4">
        <v>9.115384615384615</v>
      </c>
      <c r="F19" s="11"/>
      <c r="G19" s="12"/>
      <c r="H19" s="13"/>
      <c r="K19" s="20">
        <v>45694</v>
      </c>
      <c r="L19" s="21">
        <v>1</v>
      </c>
    </row>
    <row r="20" spans="1:12" x14ac:dyDescent="0.25">
      <c r="A20" s="18" t="s">
        <v>17</v>
      </c>
      <c r="B20" s="21">
        <v>394</v>
      </c>
      <c r="C20" s="18" t="s">
        <v>29</v>
      </c>
      <c r="D20" s="4">
        <v>26835.16</v>
      </c>
      <c r="E20" s="4">
        <v>9.0399999999999991</v>
      </c>
      <c r="F20" s="11"/>
      <c r="G20" s="12"/>
      <c r="H20" s="13"/>
      <c r="K20" s="20">
        <v>45695</v>
      </c>
      <c r="L20" s="21">
        <v>1</v>
      </c>
    </row>
    <row r="21" spans="1:12" x14ac:dyDescent="0.25">
      <c r="A21" s="19" t="s">
        <v>15</v>
      </c>
      <c r="B21" s="21">
        <v>130</v>
      </c>
      <c r="C21" s="18" t="s">
        <v>35</v>
      </c>
      <c r="D21" s="4">
        <v>32619.555555555555</v>
      </c>
      <c r="E21" s="4">
        <v>10.518518518518519</v>
      </c>
      <c r="F21" s="14"/>
      <c r="G21" s="15"/>
      <c r="H21" s="16"/>
      <c r="K21" s="20">
        <v>45699</v>
      </c>
      <c r="L21" s="21">
        <v>1</v>
      </c>
    </row>
    <row r="22" spans="1:12" x14ac:dyDescent="0.25">
      <c r="A22" s="19" t="s">
        <v>18</v>
      </c>
      <c r="B22" s="21">
        <v>47</v>
      </c>
      <c r="C22" s="18" t="s">
        <v>207</v>
      </c>
      <c r="D22" s="4">
        <v>104343.24626865672</v>
      </c>
      <c r="E22" s="4">
        <v>9.3777777777777782</v>
      </c>
      <c r="K22" s="20">
        <v>45708</v>
      </c>
      <c r="L22" s="21">
        <v>1</v>
      </c>
    </row>
    <row r="23" spans="1:12" x14ac:dyDescent="0.25">
      <c r="A23" s="19" t="s">
        <v>26</v>
      </c>
      <c r="B23" s="21">
        <v>53</v>
      </c>
      <c r="K23" s="20">
        <v>45709</v>
      </c>
      <c r="L23" s="21">
        <v>2</v>
      </c>
    </row>
    <row r="24" spans="1:12" x14ac:dyDescent="0.25">
      <c r="A24" s="19" t="s">
        <v>29</v>
      </c>
      <c r="B24" s="21">
        <v>59</v>
      </c>
      <c r="K24" s="20">
        <v>45717</v>
      </c>
      <c r="L24" s="21">
        <v>1</v>
      </c>
    </row>
    <row r="25" spans="1:12" x14ac:dyDescent="0.25">
      <c r="A25" s="19" t="s">
        <v>35</v>
      </c>
      <c r="B25" s="21">
        <v>105</v>
      </c>
      <c r="C25" s="17" t="s">
        <v>205</v>
      </c>
      <c r="D25" t="s">
        <v>203</v>
      </c>
      <c r="K25" s="20">
        <v>45725</v>
      </c>
      <c r="L25" s="21">
        <v>1</v>
      </c>
    </row>
    <row r="26" spans="1:12" x14ac:dyDescent="0.25">
      <c r="A26" s="18" t="s">
        <v>20</v>
      </c>
      <c r="B26" s="21">
        <v>456</v>
      </c>
      <c r="C26" s="18" t="s">
        <v>14</v>
      </c>
      <c r="D26" s="21">
        <v>1178805</v>
      </c>
      <c r="E26" s="17" t="s">
        <v>205</v>
      </c>
      <c r="F26" t="s">
        <v>211</v>
      </c>
      <c r="G26" t="s">
        <v>210</v>
      </c>
      <c r="K26" s="20">
        <v>45728</v>
      </c>
      <c r="L26" s="21">
        <v>1</v>
      </c>
    </row>
    <row r="27" spans="1:12" x14ac:dyDescent="0.25">
      <c r="A27" s="19" t="s">
        <v>15</v>
      </c>
      <c r="B27" s="21">
        <v>88</v>
      </c>
      <c r="C27" s="18" t="s">
        <v>22</v>
      </c>
      <c r="D27" s="21">
        <v>10844157</v>
      </c>
      <c r="E27" s="18" t="s">
        <v>12</v>
      </c>
      <c r="F27" s="4">
        <v>7.833333333333333</v>
      </c>
      <c r="G27" s="4">
        <v>40148.133333333331</v>
      </c>
      <c r="K27" s="20">
        <v>45730</v>
      </c>
      <c r="L27" s="21">
        <v>1</v>
      </c>
    </row>
    <row r="28" spans="1:12" x14ac:dyDescent="0.25">
      <c r="A28" s="19" t="s">
        <v>18</v>
      </c>
      <c r="B28" s="21">
        <v>105</v>
      </c>
      <c r="C28" s="18" t="s">
        <v>25</v>
      </c>
      <c r="D28" s="21">
        <v>964185</v>
      </c>
      <c r="E28" s="18" t="s">
        <v>17</v>
      </c>
      <c r="F28" s="4">
        <v>9.48</v>
      </c>
      <c r="G28" s="4">
        <v>232206.7</v>
      </c>
      <c r="K28" s="20">
        <v>45733</v>
      </c>
      <c r="L28" s="21">
        <v>1</v>
      </c>
    </row>
    <row r="29" spans="1:12" x14ac:dyDescent="0.25">
      <c r="A29" s="19" t="s">
        <v>26</v>
      </c>
      <c r="B29" s="21">
        <v>106</v>
      </c>
      <c r="C29" s="18" t="s">
        <v>34</v>
      </c>
      <c r="D29" s="21">
        <v>994848</v>
      </c>
      <c r="E29" s="18" t="s">
        <v>20</v>
      </c>
      <c r="F29" s="4">
        <v>10.851851851851851</v>
      </c>
      <c r="G29" s="4">
        <v>28439.528301886792</v>
      </c>
      <c r="K29" s="20">
        <v>45734</v>
      </c>
      <c r="L29" s="21">
        <v>1</v>
      </c>
    </row>
    <row r="30" spans="1:12" x14ac:dyDescent="0.25">
      <c r="A30" s="19" t="s">
        <v>29</v>
      </c>
      <c r="B30" s="21">
        <v>86</v>
      </c>
      <c r="C30" s="18" t="s">
        <v>206</v>
      </c>
      <c r="D30" s="21">
        <v>1593215</v>
      </c>
      <c r="E30" s="18" t="s">
        <v>28</v>
      </c>
      <c r="F30" s="4">
        <v>9.4722222222222214</v>
      </c>
      <c r="G30" s="4">
        <v>34809.333333333336</v>
      </c>
      <c r="K30" s="20">
        <v>45735</v>
      </c>
      <c r="L30" s="21">
        <v>1</v>
      </c>
    </row>
    <row r="31" spans="1:12" x14ac:dyDescent="0.25">
      <c r="A31" s="19" t="s">
        <v>35</v>
      </c>
      <c r="B31" s="21">
        <v>71</v>
      </c>
      <c r="C31" s="18" t="s">
        <v>207</v>
      </c>
      <c r="D31" s="21">
        <v>15575210</v>
      </c>
      <c r="E31" s="18" t="s">
        <v>207</v>
      </c>
      <c r="F31" s="4">
        <v>9.6235294117647054</v>
      </c>
      <c r="G31" s="4">
        <v>92161.005917159768</v>
      </c>
      <c r="K31" s="20">
        <v>45736</v>
      </c>
      <c r="L31" s="21">
        <v>1</v>
      </c>
    </row>
    <row r="32" spans="1:12" x14ac:dyDescent="0.25">
      <c r="A32" s="18" t="s">
        <v>28</v>
      </c>
      <c r="B32" s="21">
        <v>221</v>
      </c>
      <c r="K32" s="20">
        <v>45738</v>
      </c>
      <c r="L32" s="21">
        <v>1</v>
      </c>
    </row>
    <row r="33" spans="1:12" x14ac:dyDescent="0.25">
      <c r="A33" s="19" t="s">
        <v>15</v>
      </c>
      <c r="B33" s="21">
        <v>54</v>
      </c>
      <c r="K33" s="20">
        <v>45739</v>
      </c>
      <c r="L33" s="21">
        <v>1</v>
      </c>
    </row>
    <row r="34" spans="1:12" x14ac:dyDescent="0.25">
      <c r="A34" s="19" t="s">
        <v>18</v>
      </c>
      <c r="B34" s="21">
        <v>15</v>
      </c>
      <c r="K34" s="20">
        <v>45740</v>
      </c>
      <c r="L34" s="21">
        <v>1</v>
      </c>
    </row>
    <row r="35" spans="1:12" x14ac:dyDescent="0.25">
      <c r="A35" s="19" t="s">
        <v>26</v>
      </c>
      <c r="B35" s="21">
        <v>20</v>
      </c>
      <c r="K35" s="20">
        <v>45742</v>
      </c>
      <c r="L35" s="21">
        <v>1</v>
      </c>
    </row>
    <row r="36" spans="1:12" x14ac:dyDescent="0.25">
      <c r="A36" s="19" t="s">
        <v>29</v>
      </c>
      <c r="B36" s="21">
        <v>67</v>
      </c>
      <c r="K36" s="20">
        <v>45745</v>
      </c>
      <c r="L36" s="21">
        <v>1</v>
      </c>
    </row>
    <row r="37" spans="1:12" x14ac:dyDescent="0.25">
      <c r="A37" s="19" t="s">
        <v>35</v>
      </c>
      <c r="B37" s="21">
        <v>65</v>
      </c>
      <c r="K37" s="20">
        <v>45750</v>
      </c>
      <c r="L37" s="21">
        <v>2</v>
      </c>
    </row>
    <row r="38" spans="1:12" x14ac:dyDescent="0.25">
      <c r="A38" s="18" t="s">
        <v>207</v>
      </c>
      <c r="B38" s="21">
        <v>1266</v>
      </c>
      <c r="K38" s="20">
        <v>45752</v>
      </c>
      <c r="L38" s="21">
        <v>1</v>
      </c>
    </row>
    <row r="39" spans="1:12" x14ac:dyDescent="0.25">
      <c r="K39" s="20">
        <v>45754</v>
      </c>
      <c r="L39" s="21">
        <v>1</v>
      </c>
    </row>
    <row r="40" spans="1:12" x14ac:dyDescent="0.25">
      <c r="K40" s="20">
        <v>45755</v>
      </c>
      <c r="L40" s="21">
        <v>1</v>
      </c>
    </row>
    <row r="41" spans="1:12" x14ac:dyDescent="0.25">
      <c r="K41" s="20">
        <v>45756</v>
      </c>
      <c r="L41" s="21">
        <v>1</v>
      </c>
    </row>
    <row r="42" spans="1:12" x14ac:dyDescent="0.25">
      <c r="K42" s="20">
        <v>45758</v>
      </c>
      <c r="L42" s="21">
        <v>1</v>
      </c>
    </row>
    <row r="43" spans="1:12" x14ac:dyDescent="0.25">
      <c r="K43" s="20">
        <v>45759</v>
      </c>
      <c r="L43" s="21">
        <v>1</v>
      </c>
    </row>
    <row r="44" spans="1:12" x14ac:dyDescent="0.25">
      <c r="K44" s="20">
        <v>45760</v>
      </c>
      <c r="L44" s="21">
        <v>1</v>
      </c>
    </row>
    <row r="45" spans="1:12" x14ac:dyDescent="0.25">
      <c r="K45" s="20">
        <v>45763</v>
      </c>
      <c r="L45" s="21">
        <v>1</v>
      </c>
    </row>
    <row r="46" spans="1:12" x14ac:dyDescent="0.25">
      <c r="K46" s="20">
        <v>45773</v>
      </c>
      <c r="L46" s="21">
        <v>2</v>
      </c>
    </row>
    <row r="47" spans="1:12" x14ac:dyDescent="0.25">
      <c r="K47" s="20">
        <v>45777</v>
      </c>
      <c r="L47" s="21">
        <v>2</v>
      </c>
    </row>
    <row r="48" spans="1:12" x14ac:dyDescent="0.25">
      <c r="K48" s="20">
        <v>45782</v>
      </c>
      <c r="L48" s="21">
        <v>1</v>
      </c>
    </row>
    <row r="49" spans="11:12" x14ac:dyDescent="0.25">
      <c r="K49" s="20">
        <v>45784</v>
      </c>
      <c r="L49" s="21">
        <v>1</v>
      </c>
    </row>
    <row r="50" spans="11:12" x14ac:dyDescent="0.25">
      <c r="K50" s="20">
        <v>45787</v>
      </c>
      <c r="L50" s="21">
        <v>1</v>
      </c>
    </row>
    <row r="51" spans="11:12" x14ac:dyDescent="0.25">
      <c r="K51" s="20">
        <v>45789</v>
      </c>
      <c r="L51" s="21">
        <v>1</v>
      </c>
    </row>
    <row r="52" spans="11:12" x14ac:dyDescent="0.25">
      <c r="K52" s="20">
        <v>45790</v>
      </c>
      <c r="L52" s="21">
        <v>1</v>
      </c>
    </row>
    <row r="53" spans="11:12" x14ac:dyDescent="0.25">
      <c r="K53" s="20">
        <v>45799</v>
      </c>
      <c r="L53" s="21">
        <v>1</v>
      </c>
    </row>
    <row r="54" spans="11:12" x14ac:dyDescent="0.25">
      <c r="K54" s="20">
        <v>45802</v>
      </c>
      <c r="L54" s="21">
        <v>1</v>
      </c>
    </row>
    <row r="55" spans="11:12" x14ac:dyDescent="0.25">
      <c r="K55" s="20">
        <v>45804</v>
      </c>
      <c r="L55" s="21">
        <v>1</v>
      </c>
    </row>
    <row r="56" spans="11:12" x14ac:dyDescent="0.25">
      <c r="K56" s="20">
        <v>45806</v>
      </c>
      <c r="L56" s="21">
        <v>1</v>
      </c>
    </row>
    <row r="57" spans="11:12" x14ac:dyDescent="0.25">
      <c r="K57" s="20">
        <v>45807</v>
      </c>
      <c r="L57" s="21">
        <v>1</v>
      </c>
    </row>
    <row r="58" spans="11:12" x14ac:dyDescent="0.25">
      <c r="K58" s="20">
        <v>45809</v>
      </c>
      <c r="L58" s="21">
        <v>1</v>
      </c>
    </row>
    <row r="59" spans="11:12" x14ac:dyDescent="0.25">
      <c r="K59" s="20">
        <v>45812</v>
      </c>
      <c r="L59" s="21">
        <v>1</v>
      </c>
    </row>
    <row r="60" spans="11:12" x14ac:dyDescent="0.25">
      <c r="K60" s="20">
        <v>45816</v>
      </c>
      <c r="L60" s="21">
        <v>1</v>
      </c>
    </row>
    <row r="61" spans="11:12" x14ac:dyDescent="0.25">
      <c r="K61" s="20">
        <v>45818</v>
      </c>
      <c r="L61" s="21">
        <v>1</v>
      </c>
    </row>
    <row r="62" spans="11:12" x14ac:dyDescent="0.25">
      <c r="K62" s="20">
        <v>45822</v>
      </c>
      <c r="L62" s="21">
        <v>1</v>
      </c>
    </row>
    <row r="63" spans="11:12" x14ac:dyDescent="0.25">
      <c r="K63" s="20">
        <v>45825</v>
      </c>
      <c r="L63" s="21">
        <v>1</v>
      </c>
    </row>
    <row r="64" spans="11:12" x14ac:dyDescent="0.25">
      <c r="K64" s="20">
        <v>45832</v>
      </c>
      <c r="L64" s="21">
        <v>1</v>
      </c>
    </row>
    <row r="65" spans="11:12" x14ac:dyDescent="0.25">
      <c r="K65" s="20">
        <v>45841</v>
      </c>
      <c r="L65" s="21">
        <v>1</v>
      </c>
    </row>
    <row r="66" spans="11:12" x14ac:dyDescent="0.25">
      <c r="K66" s="20">
        <v>45842</v>
      </c>
      <c r="L66" s="21">
        <v>1</v>
      </c>
    </row>
    <row r="67" spans="11:12" x14ac:dyDescent="0.25">
      <c r="K67" s="20">
        <v>45844</v>
      </c>
      <c r="L67" s="21">
        <v>2</v>
      </c>
    </row>
    <row r="68" spans="11:12" x14ac:dyDescent="0.25">
      <c r="K68" s="20">
        <v>45848</v>
      </c>
      <c r="L68" s="21">
        <v>1</v>
      </c>
    </row>
    <row r="69" spans="11:12" x14ac:dyDescent="0.25">
      <c r="K69" s="20">
        <v>45850</v>
      </c>
      <c r="L69" s="21">
        <v>1</v>
      </c>
    </row>
    <row r="70" spans="11:12" x14ac:dyDescent="0.25">
      <c r="K70" s="20">
        <v>45851</v>
      </c>
      <c r="L70" s="21">
        <v>1</v>
      </c>
    </row>
    <row r="71" spans="11:12" x14ac:dyDescent="0.25">
      <c r="K71" s="20">
        <v>45860</v>
      </c>
      <c r="L71" s="21">
        <v>1</v>
      </c>
    </row>
    <row r="72" spans="11:12" x14ac:dyDescent="0.25">
      <c r="K72" s="20">
        <v>45862</v>
      </c>
      <c r="L72" s="21">
        <v>1</v>
      </c>
    </row>
    <row r="73" spans="11:12" x14ac:dyDescent="0.25">
      <c r="K73" s="20">
        <v>45864</v>
      </c>
      <c r="L73" s="21">
        <v>2</v>
      </c>
    </row>
    <row r="74" spans="11:12" x14ac:dyDescent="0.25">
      <c r="K74" s="20">
        <v>45867</v>
      </c>
      <c r="L74" s="21">
        <v>1</v>
      </c>
    </row>
    <row r="75" spans="11:12" x14ac:dyDescent="0.25">
      <c r="K75" s="20">
        <v>45871</v>
      </c>
      <c r="L75" s="21">
        <v>2</v>
      </c>
    </row>
    <row r="76" spans="11:12" x14ac:dyDescent="0.25">
      <c r="K76" s="20">
        <v>45872</v>
      </c>
      <c r="L76" s="21">
        <v>1</v>
      </c>
    </row>
    <row r="77" spans="11:12" x14ac:dyDescent="0.25">
      <c r="K77" s="20">
        <v>45873</v>
      </c>
      <c r="L77" s="21">
        <v>1</v>
      </c>
    </row>
    <row r="78" spans="11:12" x14ac:dyDescent="0.25">
      <c r="K78" s="20">
        <v>45877</v>
      </c>
      <c r="L78" s="21">
        <v>1</v>
      </c>
    </row>
    <row r="79" spans="11:12" x14ac:dyDescent="0.25">
      <c r="K79" s="20">
        <v>45878</v>
      </c>
      <c r="L79" s="21">
        <v>1</v>
      </c>
    </row>
    <row r="80" spans="11:12" x14ac:dyDescent="0.25">
      <c r="K80" s="20">
        <v>45881</v>
      </c>
      <c r="L80" s="21">
        <v>1</v>
      </c>
    </row>
    <row r="81" spans="11:12" x14ac:dyDescent="0.25">
      <c r="K81" s="20">
        <v>45886</v>
      </c>
      <c r="L81" s="21">
        <v>2</v>
      </c>
    </row>
    <row r="82" spans="11:12" x14ac:dyDescent="0.25">
      <c r="K82" s="20">
        <v>45887</v>
      </c>
      <c r="L82" s="21">
        <v>1</v>
      </c>
    </row>
    <row r="83" spans="11:12" x14ac:dyDescent="0.25">
      <c r="K83" s="20">
        <v>45888</v>
      </c>
      <c r="L83" s="21">
        <v>2</v>
      </c>
    </row>
    <row r="84" spans="11:12" x14ac:dyDescent="0.25">
      <c r="K84" s="20">
        <v>45889</v>
      </c>
      <c r="L84" s="21">
        <v>1</v>
      </c>
    </row>
    <row r="85" spans="11:12" x14ac:dyDescent="0.25">
      <c r="K85" s="20">
        <v>45890</v>
      </c>
      <c r="L85" s="21">
        <v>1</v>
      </c>
    </row>
    <row r="86" spans="11:12" x14ac:dyDescent="0.25">
      <c r="K86" s="20">
        <v>45895</v>
      </c>
      <c r="L86" s="21">
        <v>1</v>
      </c>
    </row>
    <row r="87" spans="11:12" x14ac:dyDescent="0.25">
      <c r="K87" s="20">
        <v>45896</v>
      </c>
      <c r="L87" s="21">
        <v>1</v>
      </c>
    </row>
    <row r="88" spans="11:12" x14ac:dyDescent="0.25">
      <c r="K88" s="20">
        <v>45897</v>
      </c>
      <c r="L88" s="21">
        <v>1</v>
      </c>
    </row>
    <row r="89" spans="11:12" x14ac:dyDescent="0.25">
      <c r="K89" s="20">
        <v>45902</v>
      </c>
      <c r="L89" s="21">
        <v>1</v>
      </c>
    </row>
    <row r="90" spans="11:12" x14ac:dyDescent="0.25">
      <c r="K90" s="20">
        <v>45905</v>
      </c>
      <c r="L90" s="21">
        <v>1</v>
      </c>
    </row>
    <row r="91" spans="11:12" x14ac:dyDescent="0.25">
      <c r="K91" s="20">
        <v>45906</v>
      </c>
      <c r="L91" s="21">
        <v>1</v>
      </c>
    </row>
    <row r="92" spans="11:12" x14ac:dyDescent="0.25">
      <c r="K92" s="20">
        <v>45912</v>
      </c>
      <c r="L92" s="21">
        <v>1</v>
      </c>
    </row>
    <row r="93" spans="11:12" x14ac:dyDescent="0.25">
      <c r="K93" s="20">
        <v>45916</v>
      </c>
      <c r="L93" s="21">
        <v>1</v>
      </c>
    </row>
    <row r="94" spans="11:12" x14ac:dyDescent="0.25">
      <c r="K94" s="20">
        <v>45919</v>
      </c>
      <c r="L94" s="21">
        <v>1</v>
      </c>
    </row>
    <row r="95" spans="11:12" x14ac:dyDescent="0.25">
      <c r="K95" s="20">
        <v>45922</v>
      </c>
      <c r="L95" s="21">
        <v>2</v>
      </c>
    </row>
    <row r="96" spans="11:12" x14ac:dyDescent="0.25">
      <c r="K96" s="20">
        <v>45936</v>
      </c>
      <c r="L96" s="21">
        <v>1</v>
      </c>
    </row>
    <row r="97" spans="11:12" x14ac:dyDescent="0.25">
      <c r="K97" s="20">
        <v>45938</v>
      </c>
      <c r="L97" s="21">
        <v>1</v>
      </c>
    </row>
    <row r="98" spans="11:12" x14ac:dyDescent="0.25">
      <c r="K98" s="20">
        <v>45941</v>
      </c>
      <c r="L98" s="21">
        <v>1</v>
      </c>
    </row>
    <row r="99" spans="11:12" x14ac:dyDescent="0.25">
      <c r="K99" s="20">
        <v>45942</v>
      </c>
      <c r="L99" s="21">
        <v>1</v>
      </c>
    </row>
    <row r="100" spans="11:12" x14ac:dyDescent="0.25">
      <c r="K100" s="20">
        <v>45945</v>
      </c>
      <c r="L100" s="21">
        <v>2</v>
      </c>
    </row>
    <row r="101" spans="11:12" x14ac:dyDescent="0.25">
      <c r="K101" s="20">
        <v>45949</v>
      </c>
      <c r="L101" s="21">
        <v>2</v>
      </c>
    </row>
    <row r="102" spans="11:12" x14ac:dyDescent="0.25">
      <c r="K102" s="20">
        <v>45960</v>
      </c>
      <c r="L102" s="21">
        <v>1</v>
      </c>
    </row>
    <row r="103" spans="11:12" x14ac:dyDescent="0.25">
      <c r="K103" s="20">
        <v>45965</v>
      </c>
      <c r="L103" s="21">
        <v>1</v>
      </c>
    </row>
    <row r="104" spans="11:12" x14ac:dyDescent="0.25">
      <c r="K104" s="20">
        <v>45966</v>
      </c>
      <c r="L104" s="21">
        <v>2</v>
      </c>
    </row>
    <row r="105" spans="11:12" x14ac:dyDescent="0.25">
      <c r="K105" s="20">
        <v>45968</v>
      </c>
      <c r="L105" s="21">
        <v>1</v>
      </c>
    </row>
    <row r="106" spans="11:12" x14ac:dyDescent="0.25">
      <c r="K106" s="20">
        <v>45975</v>
      </c>
      <c r="L106" s="21">
        <v>2</v>
      </c>
    </row>
    <row r="107" spans="11:12" x14ac:dyDescent="0.25">
      <c r="K107" s="20">
        <v>45977</v>
      </c>
      <c r="L107" s="21">
        <v>1</v>
      </c>
    </row>
    <row r="108" spans="11:12" x14ac:dyDescent="0.25">
      <c r="K108" s="20">
        <v>45981</v>
      </c>
      <c r="L108" s="21">
        <v>1</v>
      </c>
    </row>
    <row r="109" spans="11:12" x14ac:dyDescent="0.25">
      <c r="K109" s="20">
        <v>45982</v>
      </c>
      <c r="L109" s="21">
        <v>1</v>
      </c>
    </row>
    <row r="110" spans="11:12" x14ac:dyDescent="0.25">
      <c r="K110" s="20">
        <v>45990</v>
      </c>
      <c r="L110" s="21">
        <v>1</v>
      </c>
    </row>
    <row r="111" spans="11:12" x14ac:dyDescent="0.25">
      <c r="K111" s="20">
        <v>45992</v>
      </c>
      <c r="L111" s="21">
        <v>1</v>
      </c>
    </row>
    <row r="112" spans="11:12" x14ac:dyDescent="0.25">
      <c r="K112" s="20">
        <v>45998</v>
      </c>
      <c r="L112" s="21">
        <v>1</v>
      </c>
    </row>
    <row r="113" spans="11:12" x14ac:dyDescent="0.25">
      <c r="K113" s="20">
        <v>46001</v>
      </c>
      <c r="L113" s="21">
        <v>1</v>
      </c>
    </row>
    <row r="114" spans="11:12" x14ac:dyDescent="0.25">
      <c r="K114" s="20">
        <v>46002</v>
      </c>
      <c r="L114" s="21">
        <v>1</v>
      </c>
    </row>
    <row r="115" spans="11:12" x14ac:dyDescent="0.25">
      <c r="K115" s="20">
        <v>46008</v>
      </c>
      <c r="L115" s="21">
        <v>1</v>
      </c>
    </row>
    <row r="116" spans="11:12" x14ac:dyDescent="0.25">
      <c r="K116" s="20">
        <v>46009</v>
      </c>
      <c r="L116" s="21">
        <v>1</v>
      </c>
    </row>
    <row r="117" spans="11:12" x14ac:dyDescent="0.25">
      <c r="K117" s="20">
        <v>46013</v>
      </c>
      <c r="L117" s="21">
        <v>1</v>
      </c>
    </row>
    <row r="118" spans="11:12" x14ac:dyDescent="0.25">
      <c r="K118" s="20">
        <v>46014</v>
      </c>
      <c r="L118" s="21">
        <v>1</v>
      </c>
    </row>
    <row r="119" spans="11:12" x14ac:dyDescent="0.25">
      <c r="K119" s="20">
        <v>46015</v>
      </c>
      <c r="L119" s="21">
        <v>1</v>
      </c>
    </row>
    <row r="120" spans="11:12" x14ac:dyDescent="0.25">
      <c r="K120" s="20">
        <v>46023</v>
      </c>
      <c r="L120" s="21">
        <v>1</v>
      </c>
    </row>
    <row r="121" spans="11:12" x14ac:dyDescent="0.25">
      <c r="K121" s="18" t="s">
        <v>206</v>
      </c>
      <c r="L121" s="21">
        <v>40</v>
      </c>
    </row>
    <row r="122" spans="11:12" x14ac:dyDescent="0.25">
      <c r="K122" s="18" t="s">
        <v>207</v>
      </c>
      <c r="L122" s="21">
        <v>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516B-C49A-4EB0-818B-EFE0CC52EE16}">
  <dimension ref="A1:B5"/>
  <sheetViews>
    <sheetView showGridLines="0" tabSelected="1" zoomScaleNormal="100" workbookViewId="0">
      <selection activeCell="U28" sqref="U28"/>
    </sheetView>
  </sheetViews>
  <sheetFormatPr defaultRowHeight="15" x14ac:dyDescent="0.25"/>
  <sheetData>
    <row r="1" spans="1:2" ht="36" x14ac:dyDescent="0.55000000000000004">
      <c r="A1" s="23" t="s">
        <v>212</v>
      </c>
    </row>
    <row r="5" spans="1:2" x14ac:dyDescent="0.25">
      <c r="B5" s="2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health_economics_raw</vt:lpstr>
      <vt:lpstr>Dashboard</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odhiambo clinton</cp:lastModifiedBy>
  <dcterms:created xsi:type="dcterms:W3CDTF">2026-07-10T13:43:54Z</dcterms:created>
  <dcterms:modified xsi:type="dcterms:W3CDTF">2026-08-14T09:08:34Z</dcterms:modified>
</cp:coreProperties>
</file>